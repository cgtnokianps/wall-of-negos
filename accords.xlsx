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791" documentId="11_F25DC773A252ABDACC1048A741DB65945BDE58FA" xr6:coauthVersionLast="47" xr6:coauthVersionMax="47" xr10:uidLastSave="{5CC6DB05-A7C7-472B-87A4-FDF05B0AD720}"/>
  <bookViews>
    <workbookView xWindow="4200" yWindow="3315" windowWidth="21600" windowHeight="11295" xr2:uid="{00000000-000D-0000-FFFF-FFFF00000000}"/>
  </bookViews>
  <sheets>
    <sheet name="accords" sheetId="1" r:id="rId1"/>
    <sheet name="rules" sheetId="2" r:id="rId2"/>
    <sheet name="taux signatures" sheetId="3" r:id="rId3"/>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3" l="1" a="1"/>
  <c r="F7" i="3" s="1"/>
  <c r="E7" i="3" a="1"/>
  <c r="E7" i="3" s="1"/>
  <c r="D7" i="3" a="1"/>
  <c r="D7" i="3" s="1"/>
  <c r="C7" i="3" a="1"/>
  <c r="C7" i="3" s="1"/>
  <c r="F6" i="3" a="1"/>
  <c r="F6" i="3" s="1"/>
  <c r="E6" i="3" a="1"/>
  <c r="E6" i="3" s="1"/>
  <c r="D6" i="3" a="1"/>
  <c r="D6" i="3" s="1"/>
  <c r="C6" i="3" a="1"/>
  <c r="C6" i="3" s="1"/>
  <c r="F5" i="3" a="1"/>
  <c r="F5" i="3" s="1"/>
  <c r="E5" i="3" a="1"/>
  <c r="E5" i="3" s="1"/>
  <c r="D5" i="3" a="1"/>
  <c r="D5" i="3" s="1"/>
  <c r="C5" i="3" a="1"/>
  <c r="C5" i="3" s="1"/>
  <c r="F4" i="3" a="1"/>
  <c r="F4" i="3" s="1"/>
  <c r="E4" i="3" a="1"/>
  <c r="E4" i="3" s="1"/>
  <c r="D4" i="3" a="1"/>
  <c r="D4" i="3" s="1"/>
  <c r="C4" i="3" a="1"/>
  <c r="C4" i="3" s="1"/>
  <c r="B7" i="3" a="1"/>
  <c r="B7" i="3" s="1"/>
  <c r="B6" i="3" a="1"/>
  <c r="B6" i="3" s="1"/>
  <c r="B5" i="3" a="1"/>
  <c r="B5" i="3" s="1"/>
  <c r="B4" i="3" a="1"/>
  <c r="B4" i="3" s="1"/>
  <c r="K25" i="1"/>
  <c r="F16" i="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<sst xmlns="http://schemas.openxmlformats.org/spreadsheetml/2006/main" count="451" uniqueCount="334">
  <si>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</si>
  <si>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</si>
  <si>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</si>
  <si>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</si>
  <si>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</si>
  <si>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</si>
  <si>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</si>
  <si>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</si>
  <si>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</si>
  <si>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</si>
  <si>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</si>
  <si>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</si>
  <si>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</si>
  <si>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</si>
  <si>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</si>
  <si>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</si>
  <si>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</si>
  <si>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</si>
  <si>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</si>
  <si>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</si>
  <si>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</si>
  <si>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</si>
  <si>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</si>
  <si>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</si>
  <si>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</si>
  <si>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</si>
  <si>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</si>
  <si>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</si>
  <si>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</si>
  <si>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</si>
  <si>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</si>
  <si>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</si>
  <si>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</si>
  <si>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</si>
  <si>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</si>
  <si>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</si>
  <si>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</si>
  <si>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</si>
  <si>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</si>
  <si>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</si>
  <si>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https://nokia.sharepoint.com/sites/CGT39/Shared%20Documents/salari%C3%A9s/tracts%20diffus%C3%A9s/2026/2026_06_TRACT-RetourSondageRCC2026-2.pdf</t>
  </si>
  <si>
    <t>https://nokia.sharepoint.com/sites/CGT39/Shared%20Documents/salari%C3%A9s/tracts%20diffus%C3%A9s/2025/tract_pour_ceux_qui_restent.pdf</t>
  </si>
  <si>
    <t>https://nokia.sharepoint.com/sites/CGT39/Shared%20Documents/salari%C3%A9s/tracts%20diffus%C3%A9s/2025/tract_rcc_2026.pdf</t>
  </si>
  <si>
    <t>https://nokia.sharepoint.com/sites/CGT39/Shared%20Documents/salari%C3%A9s/tracts%20diffus%C3%A9s/2025/tract-salaires-2025.pdf</t>
  </si>
  <si>
    <t>https://nokia.sharepoint.com/sites/CGT39/Shared%20Documents/salari%C3%A9s/tracts%20diffus%C3%A9s/2025/tract-avenant-TL-v2.pdf</t>
  </si>
  <si>
    <t>https://nokia.sharepoint.com/sites/CGT39/Shared%20Documents/salari%C3%A9s/tracts%20diffus%C3%A9s/2024/tract_bilan_rcc24_v4.pdf</t>
  </si>
  <si>
    <t>https://nokia.sharepoint.com/sites/CGT39/Shared%20Documents/salari%C3%A9s/tracts%20diffus%C3%A9s/2023/ncc%20cotation%203.pdf</t>
  </si>
  <si>
    <t>https://nokia.sharepoint.com/sites/CGT39/Shared%20Documents/salari%C3%A9s/tracts%20diffus%C3%A9s/2023/Tract%20Volontariat%20RCC.pdf</t>
  </si>
  <si>
    <t>https://nokia.sharepoint.com/sites/CGT39/Shared%20Documents/salari%C3%A9s/tracts%20diffus%C3%A9s/2023/Tract%20br%C3%A8ves%20de%20printemps.pdf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</si>
  <si>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</si>
  <si>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</si>
  <si>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</si>
  <si>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</si>
  <si>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</si>
  <si>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</si>
  <si>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</si>
  <si>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</si>
  <si>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</si>
  <si>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</si>
  <si>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https://nokia.sharepoint.com/sites/HRLibrary/Controlled%20Documents/HR%20Regions/Europe%20South/France/Plan-de-transformation/RCC%202025/Avenant%20RCC%202025.pdf</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</si>
  <si>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</si>
  <si>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</si>
  <si>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</si>
  <si>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</si>
  <si>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</si>
  <si>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</si>
  <si>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</si>
  <si>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</si>
  <si>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Aménagement du temps de travail 2023</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</si>
  <si>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</si>
  <si>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</si>
  <si>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</si>
  <si>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</si>
  <si>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</si>
  <si>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</si>
  <si>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</si>
  <si>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https://nokia.sharepoint.com/sites/CGT39/Shared%20Documents/salari%C3%A9s/tracts%20diffus%C3%A9s/2024/tract_retour_salaires_2024_v1.pdf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</si>
  <si>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</si>
  <si>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</si>
  <si>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</si>
  <si>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</si>
  <si>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</si>
  <si>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</si>
  <si>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</si>
  <si>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</si>
  <si>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</si>
  <si>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</si>
  <si>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</si>
  <si>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</si>
  <si>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</si>
  <si>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</si>
  <si>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</si>
  <si>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</si>
  <si>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</si>
  <si>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</si>
  <si>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</si>
  <si>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</si>
  <si>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</si>
  <si>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</si>
  <si>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</si>
  <si>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</si>
  <si>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</si>
  <si>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</si>
  <si>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</si>
  <si>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</si>
  <si>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</si>
  <si>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</si>
  <si>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</si>
  <si>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</si>
  <si>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</si>
  <si>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</si>
  <si>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</si>
  <si>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</si>
  <si>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</si>
  <si>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</si>
  <si>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</si>
  <si>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</si>
  <si>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</si>
  <si>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</si>
  <si>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</si>
  <si>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</si>
  <si>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</si>
  <si>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</si>
  <si>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</si>
  <si>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</si>
  <si>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</si>
  <si>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</si>
  <si>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</si>
  <si>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</si>
  <si>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</si>
  <si>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</si>
  <si>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</si>
  <si>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</si>
  <si>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</si>
  <si>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</si>
  <si>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</si>
  <si>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</si>
  <si>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</si>
  <si>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</si>
  <si>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</si>
  <si>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</si>
  <si>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</si>
  <si>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</si>
  <si>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</si>
  <si>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</si>
  <si>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</si>
  <si>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</si>
  <si>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</si>
  <si>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</si>
  <si>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</si>
  <si>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</si>
  <si>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</si>
  <si>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p.11 : signatures de la Direction, de la CFDT, de la CFE-CGC et de la CGT.</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</si>
  <si>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</si>
  <si>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</si>
  <si>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</si>
  <si>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</si>
  <si>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</si>
  <si>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</si>
  <si>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</si>
  <si>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</si>
  <si>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</si>
  <si>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</si>
  <si>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</si>
  <si>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</si>
  <si>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</si>
  <si>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</si>
  <si>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</si>
  <si>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</si>
  <si>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</si>
  <si>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</si>
  <si>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</si>
  <si>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</si>
  <si>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Abondement concentré sur les actions Nokia, rémunération « TTC », exonérations de cotisations ; préférence pour un 13e mois cotisé.</t>
  </si>
  <si>
    <t>Retraite par capitalisation contre la répartition, perte de cotisations sociales ; préférence pour un 13e mois cotisé.</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</si>
  <si>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</si>
  <si>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</si>
  <si>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</si>
  <si>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</si>
  <si>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</si>
  <si>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</si>
  <si>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</si>
  <si>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</si>
  <si>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</si>
  <si>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</si>
  <si>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</si>
  <si>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</si>
  <si>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</si>
  <si>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</si>
  <si>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</si>
  <si>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</si>
  <si>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</si>
  <si>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</si>
  <si>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</si>
  <si>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</si>
  <si>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</si>
  <si>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</si>
  <si>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</si>
  <si>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</si>
  <si>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</si>
  <si>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</si>
  <si>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</si>
  <si>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GEPP</t>
  </si>
  <si>
    <t>NAO 2025</t>
  </si>
  <si>
    <t>Partage de la valeur</t>
  </si>
  <si>
    <t>NAO 2024</t>
  </si>
  <si>
    <t>NAO 2023</t>
  </si>
  <si>
    <t>accord collectif relatif aux évolutions du régime AUXAD -VF.pdf</t>
  </si>
  <si>
    <t>Évolutions du régime AUXAD</t>
  </si>
  <si>
    <t>Accord technique, aucun enjeu de fond défavorable.</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</si>
  <si>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</si>
  <si>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</si>
  <si>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</si>
  <si>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</si>
  <si>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</si>
  <si>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</si>
  <si>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</si>
  <si>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</si>
  <si>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</si>
  <si>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</si>
  <si>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</si>
  <si>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</si>
  <si>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</si>
  <si>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</si>
  <si>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</si>
  <si>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</si>
  <si>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</si>
  <si>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</si>
  <si>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</si>
  <si>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</si>
  <si>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</si>
  <si>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</si>
  <si>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</si>
  <si>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</si>
  <si>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</si>
  <si>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</si>
  <si>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</si>
  <si>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</si>
  <si>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</si>
  <si>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</si>
  <si>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</si>
  <si>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</si>
  <si>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</si>
  <si>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</si>
  <si>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</si>
  <si>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</si>
  <si>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</si>
  <si>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</si>
  <si>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</si>
  <si>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</si>
  <si>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</si>
  <si>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</si>
  <si>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</si>
  <si>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</si>
  <si>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</si>
  <si>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</si>
  <si>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</si>
  <si>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</si>
  <si>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</si>
  <si>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</si>
  <si>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</si>
  <si>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</si>
  <si>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</si>
  <si>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</si>
  <si>
    <t>Cette RCC n'est que la phase 3 de la RCC 2026 n°1 : le constat d'un outil devenu récurrent était déjà posé, en toute logique c'est toujours non. Suppressions de postes sans embauche ni garantie d'emploi (garantie demandée jusqu'au 31/12/2027) ; volontariat élargi à tous les salariés, d'où une pression sur les non-volontaires ; OS exclues de la commission de validation ; ni stratégie industrielle ni pérennité des sites.</t>
  </si>
  <si>
    <t>Pour : gains concrets au-delà du minimum légal, surtout le temps partiel choisi (TPC) prolongeable au-delà de 5 ans avec retraite et prévoyance prises en charge à 100 % ; aide de 200 € et jours de congé dédiés ; CSSCT associée aux études de poste. Contre : pas de moyens dédiés aux référents, élus écartés du pilotage (commission paritaire supprimée).</t>
  </si>
  <si>
    <t>Avenant CSE Restauration</t>
  </si>
  <si>
    <t>PV de désaccord valide unilatéralement ; accord séparé signé par la seule CFDT, non majoritaire ; aucune signature de la CFE-CGC ni de la CGT.</t>
  </si>
  <si>
    <t>Pas d'accord majoritaire. Mesures unilatérales : budget d'augmentations individuelles de 2 % des TTC, sans augmentation générale ; GPP et Unexplained Pay Gap maintenus ; primes de transport revalorisées de 5 %.</t>
  </si>
  <si>
    <t>Accord technique : il formalise une délégation de la restauration à la Direction déjà en place, sans enjeu de fond défavorable.</t>
  </si>
  <si>
    <t>Nokia n'a jamais eu l'intention d'aboutir à un accord : la négociation obligatoire a été menée pour la forme. Pas d'engagement d'embauche ni de remplacement des départs, garanties insuffisantes sur les activités en France.</t>
  </si>
  <si>
    <t>Deuxième RCC acceptée car la pyramide des âges et le contexte le permettaient encore (départs volontaires majoritairement en fin de carrière) ; mesures individuelles de départ jugées correctes, alternative à un PSE. Bilan a posteriori critique : délocalisations, perte de savoir-faire, charge de travail, RPS, externalisations.</t>
  </si>
  <si>
    <t>Après de longs débats internes, la CGT vote finalement la signature. Nouvelle réduction d'effectifs : 231 suppressions de postes en 2024 (non retrouvé dans le PDF, qui indique 347 maximum).</t>
  </si>
  <si>
    <t>Contre : la CGT se méfie quand la Direction propose d'« augmenter » les salariés avec leur propre argent (monétisation des congés, repos transformé en argent) ; 5e semaine exclue mais logique banalisée. Points positifs reconnus : souplesse pour les salariés, jour supplémentaire à Lannion.</t>
  </si>
  <si>
    <t>Pas d'augmentation générale. Augmentations individuelles de 2,15 % au 01/04/2026. Primes de transport, forfait vélo (500 €/an) et primes d'astreinte et de nuit revalorisées.</t>
  </si>
  <si>
    <t>Compromis assumé : loin de nos revendications, mais 2,15 % reste bon à prendre et les salariés en ont besoin. La CGT sait faire des compromis. Limites : aucune augmentation générale, individualisation.</t>
  </si>
  <si>
    <t>Négociation obligatoire tous les 3 ans, sans obligation d'aboutir. Pas d'accord : la Direction refuse tout plan d'embauche. Mesures unilatérales pour 3 ans : aides à la mobilité, priorité au recrutement interne, TPC seniors prolongeable avec retraite et prévoyance à 100 %.</t>
  </si>
  <si>
    <t>La retraite supplémentaire AUXAD (anciens hauts salaires Alcatel, environ 250 ayants droit) devient un accord collectif, avec une valeur du point figée sans revalorisation. Contreparties : mutuelle prise en charge à 60 % et intéressement porté à 4 % de la masse salariale.</t>
  </si>
  <si>
    <t>Signature négociée en échange de deux gains pour tous les salariés : frais de santé mieux pris en charge (60 %) et meilleur intéressement (4 %). Limites : aucune contrepartie salariale, gain sur l'intéressement limité à 4 ans.</t>
  </si>
  <si>
    <t>Négociation obligatoire, sans obligation d'aboutir. Pas d'accord : prime versée seulement si le bénéfice net fiscal dépasse 15 % du CA France.</t>
  </si>
  <si>
    <t>Comme pour la GEPP, négociation menée pour la forme : Nokia n'a jamais cherché d'accord. Seuil inatteignable vu le déficit de NNF, donc aucune prime en pratique. Revendication : du salaire fixe plutôt que des primes.</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</si>
  <si>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 Estimations du manque à percevoir (réunion Direction/DSC/Syndex, 01/10/2025) : ≈ 800 k€ pour Syndex (Paris-Saclay seul, base masse salariale N) contre ≈ 200 k€ pour la Direction (deux sites, base N-1). CSE-E Paris-Saclay du 24/03/2026 : mandat au CSE-C pour transiger à 145 000 € (unanimité, 25 voix).</t>
  </si>
  <si>
    <t>Choix pragmatique pour la première édition de ce dispositif, qui garantissait le volontariat en échange de la signature d'un accord majoritaire. Solide sur ses convictions, la CGT sait aussi faire preuve de pragmatisme quand le contexte le permet : volontariat, mesures individuelles correctes, éviter un PSE à moyen terme. Points d'alerte : pressions au volontariat, affaiblissement des équipes, absence de garanties sur les activités en France, lien RCC / absence d'augmentation.</t>
  </si>
  <si>
    <t>Baisse des dépenses de restauration post-COVID : Nokia verse 145 000 € aux CSE-E (au prorata des effectifs) pour solder le passé. La restauration sort des ASC ; la Direction en assume tous les coûts et rend compte de la facturation à une commission restauration.</t>
  </si>
  <si>
    <t>Taux de signature par site et par OS (source : feuille accords)</t>
  </si>
  <si>
    <t>Site</t>
  </si>
  <si>
    <t>Nb accords / négos</t>
  </si>
  <si>
    <t>Total</t>
  </si>
  <si>
    <t>Pas d'accord. Mesures unilatérales au 01/07/2023 : augmentations individuelles de 3,21 % (5 % pour les JG 5 et moins), sans augmentation générale ; primes de transport et prime vélo revalorisées.</t>
  </si>
  <si>
    <t>Exclus du calcul</t>
  </si>
  <si>
    <t>Taux = accords signés par l'OS / accords et négociations du site (PV de désaccord inclus), hors lignes listées en H4:H20. CFTC : uniquement NPS (« - » ailleurs).</t>
  </si>
  <si>
    <t>Trop c'est trop : la CGT a fait preuve de flexibilité et de pragmatisme en accompagnant les deux RCC précédentes (2023, 2024), un dispositif qui échange une signature contre la garantie du volontariat. La Direction semble désormais vouloir se faire un PSE EN 4X SANS FRAIS : ce sera sans nous. Jusqu'à 421 suppressions de postes non justifiées par la charge de travail ; ni garantie d'emploi ni embauche ; externalisations et perte de compétences ; pression au volontariat.</t>
  </si>
  <si>
    <t>https://nokia.sharepoint.com/:i:/r/sites/CGT39/Shared%20Documents/salari%C3%A9s/accords%20n%C3%A9goci%C3%A9s/negos_html_files/signatures/rh_Accord_RCC_2026_p54_signature.jpg?csf=1&amp;web=1</t>
  </si>
  <si>
    <t>https://nokia.sharepoint.com/:i:/r/sites/CGT39/Shared%20Documents/salari%C3%A9s/accords%20n%C3%A9goci%C3%A9s/negos_html_files/signatures/rh_2026_protocole_accord_preectoral_LANNION_signe_p11_signature.jpg?csf=1&amp;web=1</t>
  </si>
  <si>
    <t>https://nokia.sharepoint.com/:i:/r/sites/CGT39/Shared%20Documents/salari%C3%A9s/accords%20n%C3%A9goci%C3%A9s/negos_html_files/signatures/rh_2026_protocole_accord_preelectoral_signe_p11_signature.jpg?csf=1&amp;web=1</t>
  </si>
  <si>
    <t>https://nokia.sharepoint.com/:i:/r/sites/CGT39/Shared%20Documents/salari%C3%A9s/accords%20n%C3%A9goci%C3%A9s/negos_html_files/signatures/rh_Avenant_no_1_a_l_Accord_CSE_du_21_septembre_2018_p10_signature.jpg?csf=1&amp;web=1</t>
  </si>
  <si>
    <t>https://nokia.sharepoint.com/:i:/r/sites/CGT39/Shared%20Documents/salari%C3%A9s/accords%20n%C3%A9goci%C3%A9s/negos_html_files/signatures/rh_Accord_d_entreprise_relatif_a_la_situation_de_handicap_NNF_p15-16_signatures.jpg?csf=1&amp;web=1</t>
  </si>
  <si>
    <t>https://nokia.sharepoint.com/:i:/r/sites/CGT39/Shared%20Documents/salari%C3%A9s/accords%20n%C3%A9goci%C3%A9s/negos_html_files/signatures/rh_Accord_Etablissement_Prorogation_des_Mandats_CSE_E_Lannion_p05_signature.jpg?csf=1&amp;web=1</t>
  </si>
  <si>
    <t>https://nokia.sharepoint.com/:i:/r/sites/CGT39/Shared%20Documents/salari%C3%A9s/accords%20n%C3%A9goci%C3%A9s/negos_html_files/signatures/rh_NAO_2026_Proces_verbal_d_accord_24_janvier_2026_p07_signature.jpg?csf=1&amp;web=1</t>
  </si>
  <si>
    <t>https://nokia.sharepoint.com/:i:/r/sites/CGT39/Shared%20Documents/salari%C3%A9s/accords%20n%C3%A9goci%C3%A9s/negos_html_files/signatures/rh_Avenant_RCC_2025_p07_signature.jpg?csf=1&amp;web=1</t>
  </si>
  <si>
    <t>https://nokia.sharepoint.com/:i:/r/sites/CGT39/Shared%20Documents/salari%C3%A9s/accords%20n%C3%A9goci%C3%A9s/negos_html_files/signatures/rh_Accord_Amenagement_Temps_Travail_NPS_2026_19_decembre_2025_p03_signature.jpg?csf=1&amp;web=1</t>
  </si>
  <si>
    <t>https://nokia.sharepoint.com/:i:/r/sites/CGT39/Shared%20Documents/salari%C3%A9s/accords%20n%C3%A9goci%C3%A9s/negos_html_files/signatures/rh_Accord_collectif_portant_sur_une_Rupture_Conventionnelle_Collective_RCC__p52_signature.jpg?csf=1&amp;web=1</t>
  </si>
  <si>
    <t>https://nokia.sharepoint.com/:i:/r/sites/CGT39/Shared%20Documents/salari%C3%A9s/accords%20n%C3%A9goci%C3%A9s/negos_html_files/signatures/rh_Accord_d_entreprise_relatif_au_Plan_d_Epargne_Entreprise_au_sein_de_Noki_p17-18_signatures.jpg?csf=1&amp;web=1</t>
  </si>
  <si>
    <t>https://nokia.sharepoint.com/:i:/r/sites/CGT39/Shared%20Documents/salari%C3%A9s/accords%20n%C3%A9goci%C3%A9s/negos_html_files/signatures/rh_Accord_d_entreprise_relatif_au_Plan_d_Epargne_Retraite_d_Entreprise_Coll_p20-21_signatures.jpg?csf=1&amp;web=1</t>
  </si>
  <si>
    <t>https://nokia.sharepoint.com/:i:/r/sites/CGT39/Shared%20Documents/salari%C3%A9s/accords%20n%C3%A9goci%C3%A9s/negos_html_files/signatures/cgt_GEPP_PV_de_desaccord_mis_a_signature_p12_signature.jpg?csf=1&amp;web=1</t>
  </si>
  <si>
    <t>https://nokia.sharepoint.com/:i:/r/sites/CGT39/Shared%20Documents/salari%C3%A9s/accords%20n%C3%A9goci%C3%A9s/negos_html_files/signatures/rh_Accord_CET_24_juillet_2025_p13-14_signatures.jpg?csf=1&amp;web=1</t>
  </si>
  <si>
    <t>https://nokia.sharepoint.com/:i:/r/sites/CGT39/Shared%20Documents/salari%C3%A9s/accords%20n%C3%A9goci%C3%A9s/negos_html_files/signatures/rh_accord_collectif_relatif_aux_evolutions_du_regime_AUXAD_VF_p06_signature.jpg?csf=1&amp;web=1</t>
  </si>
  <si>
    <t>https://nokia.sharepoint.com/:i:/r/sites/CGT39/Shared%20Documents/salari%C3%A9s/accords%20n%C3%A9goci%C3%A9s/negos_html_files/signatures/rh_Avenant_frais_de_sante_9_avril_2025_p05-06_signatures.jpg?csf=1&amp;web=1</t>
  </si>
  <si>
    <t>https://nokia.sharepoint.com/:i:/r/sites/CGT39/Shared%20Documents/salari%C3%A9s/accords%20n%C3%A9goci%C3%A9s/negos_html_files/signatures/rh_Accord_d_interessement_2025_2028_p16_signature.jpg?csf=1&amp;web=1</t>
  </si>
  <si>
    <t>https://nokia.sharepoint.com/:i:/r/sites/CGT39/Shared%20Documents/salari%C3%A9s/accords%20n%C3%A9goci%C3%A9s/negos_html_files/signatures/rh_Proces_verbal_NAO_desaccord_2025_27_mars_2025_p11_signature.jpg?csf=1&amp;web=1</t>
  </si>
  <si>
    <t>https://nokia.sharepoint.com/:i:/r/sites/CGT39/Shared%20Documents/salari%C3%A9s/accords%20n%C3%A9goci%C3%A9s/negos_html_files/signatures/rh_Avenant_Accord_ARTT_Lannion_20_03_2025_p08_signature.jpg?csf=1&amp;web=1</t>
  </si>
  <si>
    <t>https://nokia.sharepoint.com/:i:/r/sites/CGT39/Shared%20Documents/salari%C3%A9s/accords%20n%C3%A9goci%C3%A9s/negos_html_files/signatures/rh_Avenant_Accord_Horaire_Variable_Lannion_20_03_2025_p07_signature.jpg?csf=1&amp;web=1</t>
  </si>
  <si>
    <t>https://nokia.sharepoint.com/:i:/r/sites/CGT39/Shared%20Documents/salari%C3%A9s/accords%20n%C3%A9goci%C3%A9s/negos_html_files/signatures/rh_Avenant_accord_teletravail_avril_2022_p07_signature.jpg?csf=1&amp;web=1</t>
  </si>
  <si>
    <t>https://nokia.sharepoint.com/:i:/r/sites/CGT39/Shared%20Documents/salari%C3%A9s/accords%20n%C3%A9goci%C3%A9s/negos_html_files/signatures/rh_Accord_2025_NPS_amenagement_temps_de_travail_20_janvier_2025_p04_signature.jpg?csf=1&amp;web=1</t>
  </si>
  <si>
    <t>https://nokia.sharepoint.com/:i:/r/sites/CGT39/Shared%20Documents/salari%C3%A9s/accords%20n%C3%A9goci%C3%A9s/negos_html_files/signatures/rh_Accord_don_de_jours_14_novembre_2024_p11_signature.jpg?csf=1&amp;web=1</t>
  </si>
  <si>
    <t>https://nokia.sharepoint.com/:i:/r/sites/CGT39/Shared%20Documents/salari%C3%A9s/accords%20n%C3%A9goci%C3%A9s/negos_html_files/signatures/rh_PV_desaccord_Partage_de_la_valeur_VS_p06_signature.jpg?csf=1&amp;web=1</t>
  </si>
  <si>
    <t>https://nokia.sharepoint.com/:i:/r/sites/CGT39/Shared%20Documents/salari%C3%A9s/accords%20n%C3%A9goci%C3%A9s/negos_html_files/signatures/rh_Accord_RCC_2024_19_avril_2024_p47_signature.jpg?csf=1&amp;web=1</t>
  </si>
  <si>
    <t>https://nokia.sharepoint.com/:i:/r/sites/CGT39/Shared%20Documents/salari%C3%A9s/accords%20n%C3%A9goci%C3%A9s/negos_html_files/signatures/rh_Avenant_Proces_verbal_de_desaccord_NAO_2024_9_avril_2024_p05_signature.jpg?csf=1&amp;web=1</t>
  </si>
  <si>
    <t>https://nokia.sharepoint.com/:i:/r/sites/CGT39/Shared%20Documents/salari%C3%A9s/accords%20n%C3%A9goci%C3%A9s/negos_html_files/signatures/rh_Accord_CGF_p10_signature.jpg?csf=1&amp;web=1</t>
  </si>
  <si>
    <t>https://nokia.sharepoint.com/:i:/r/sites/CGT39/Shared%20Documents/salari%C3%A9s/accords%20n%C3%A9goci%C3%A9s/negos_html_files/signatures/rh_Accord_Etablissement_NNF_Lannion_Mise_en_place_accord_cadre_nouvelle_CCN_p06_signature.jpg?csf=1&amp;web=1</t>
  </si>
  <si>
    <t>https://nokia.sharepoint.com/:i:/r/sites/CGT39/Shared%20Documents/salari%C3%A9s/accords%20n%C3%A9goci%C3%A9s/negos_html_files/signatures/rh_Accord_cadre_NPS_nouvelle_convention_collective_2024_signe_p06_signature.jpg?csf=1&amp;web=1</t>
  </si>
  <si>
    <t>https://nokia.sharepoint.com/:i:/r/sites/CGT39/Shared%20Documents/salari%C3%A9s/accords%20n%C3%A9goci%C3%A9s/negos_html_files/signatures/rh_Accord_collectif_mise_en_place_CCN_p06_signature.jpg?csf=1&amp;web=1</t>
  </si>
  <si>
    <t>https://nokia.sharepoint.com/:i:/r/sites/CGT39/Shared%20Documents/salari%C3%A9s/accords%20n%C3%A9goci%C3%A9s/negos_html_files/signatures/rh_Accord_harmonisation_taux_variable_cible_salaries_non_sales_du_19_decemb_p10_signature.jpg?csf=1&amp;web=1</t>
  </si>
  <si>
    <t>https://nokia.sharepoint.com/:i:/r/sites/CGT39/Shared%20Documents/salari%C3%A9s/accords%20n%C3%A9goci%C3%A9s/negos_html_files/signatures/rh_Accord_amenagement_temps_travail_NPS_2024_p04_signature.jpg?csf=1&amp;web=1</t>
  </si>
  <si>
    <t>https://nokia.sharepoint.com/:i:/r/sites/CGT39/Shared%20Documents/salari%C3%A9s/accords%20n%C3%A9goci%C3%A9s/negos_html_files/signatures/rh_Accord_de_substitution_non_cadres_30_novembre_2023_p09_signature.jpg?csf=1&amp;web=1</t>
  </si>
  <si>
    <t>https://nokia.sharepoint.com/:i:/r/sites/CGT39/Shared%20Documents/salari%C3%A9s/accords%20n%C3%A9goci%C3%A9s/negos_html_files/signatures/rh_Accord_RCC_2023_p49_signature.jpg?csf=1&amp;web=1</t>
  </si>
  <si>
    <t>https://nokia.sharepoint.com/:i:/r/sites/CGT39/Shared%20Documents/salari%C3%A9s/accords%20n%C3%A9goci%C3%A9s/negos_html_files/signatures/rh_NAO_2023_PV_desaccord_p10_signature.jpg?csf=1&amp;web=1</t>
  </si>
  <si>
    <t>https://nokia.sharepoint.com/:i:/r/sites/CGT39/Shared%20Documents/salari%C3%A9s/accords%20n%C3%A9goci%C3%A9s/negos_html_files/signatures/rh_Accord_egalite_professionnelle_p20_signature.jpg?csf=1&amp;web=1</t>
  </si>
  <si>
    <t>https://nokia.sharepoint.com/:i:/r/sites/CGT39/Shared%20Documents/salari%C3%A9s/accords%20n%C3%A9goci%C3%A9s/negos_html_files/signatures/rh_Accord_amenagement_temps_travail_NPS_2023_p04_signature.jpg?csf=1&amp;web=1</t>
  </si>
  <si>
    <t>https://nokia.sharepoint.com/:i:/r/sites/CGT39/Shared%20Documents/salari%C3%A9s/accords%20n%C3%A9goci%C3%A9s/negos_html_files/signatures/rh_Accord_nombre_delegues_syndicaux_Lannion_24_janvier_2023_p04_signature.jpg?csf=1&amp;web=1</t>
  </si>
  <si>
    <t>https://nokia.sharepoint.com/:i:/r/sites/CGT39/Shared%20Documents/salari%C3%A9s/accords%20n%C3%A9goci%C3%A9s/negos_html_files/signatures/rh_Accord_augmentation_nombre_delegues_syndicaux_NPS_2023_p05_signature.jpg?csf=1&amp;web=1</t>
  </si>
  <si>
    <t>https://nokia.sharepoint.com/:i:/r/sites/CGT39/Shared%20Documents/salari%C3%A9s/accords%20n%C3%A9goci%C3%A9s/negos_html_files/signatures/rh_Accord_remboursement_sante_2023_p11_signature.jpg?csf=1&amp;web=1</t>
  </si>
  <si>
    <t>https://nokia.sharepoint.com/sites/CGT39/Shared%20Documents/salari%C3%A9s/accords%20n%C3%A9goci%C3%A9s/negos_html_files/copies/GEPP%20PV%20de%20d%C3%A9saccord%20mis%20%C3%A0%20signature.pdf</t>
  </si>
  <si>
    <t>https://nokia.sharepoint.com/:b:/r/sites/BDESENNF-CSE-C/Shared%20Documents/05a.%20CSE-C/CSE-C%202025/03-CSE-C%20extraordinaire%209%20avril%202025/accord%20collectif%20relatif%20aux%20%C3%A9volutions%20du%20r%C3%A9gime%20AUXAD%20-VF.pdf?d=wa55078e44a6a4994b282eaeb8585d27c&amp;csf=1&amp;web=1&amp;e=Qi12J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</si>
</sst>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
      <i/>
      <sz val="11"/>
      <color rgb="FF595959"/>
      <name val="Calibri"/>
      <family val="2"/>
      <scheme val="minor"/>
    </font>
  </fonts>
  <fills count="4">
    <fill>
      <patternFill patternType="none"/>
    </fill>
    <fill>
      <patternFill patternType="gray125"/>
    </fill>
    <fill>
      <patternFill patternType="solid">
        <fgColor rgb="FFD9D9D9"/>
        <bgColor indexed="64"/>
      </patternFill>
    </fill>
    <fill>
      <patternFill patternType="solid">
        <fgColor rgb="FFD9E1F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top style="thin">
        <color auto="1"/>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xf numFmtId="0" fontId="7" fillId="0" borderId="0" xfId="0" applyFont="1"/>
    <xf numFmtId="0" fontId="1" fillId="3" borderId="0" xfId="0" applyFont="1" applyFill="1"/>
    <xf numFmtId="0" fontId="1" fillId="0" borderId="7" xfId="0" applyFont="1" applyBorder="1"/>
    <xf numFmtId="0" fontId="1" fillId="3" borderId="0" xfId="0" applyFont="1" applyFill="1" applyAlignment="1">
      <alignment horizontal="center"/>
    </xf>
    <xf numFmtId="0" fontId="0" fillId="0" borderId="0" xfId="0" applyAlignment="1">
      <alignment horizontal="center"/>
    </xf>
    <xf numFmtId="9" fontId="0" fillId="0" borderId="0" xfId="0" applyNumberFormat="1" applyAlignment="1">
      <alignment horizontal="center"/>
    </xf>
    <xf numFmtId="0" fontId="1" fillId="0" borderId="7" xfId="0" applyFont="1" applyBorder="1" applyAlignment="1">
      <alignment horizontal="center"/>
    </xf>
    <xf numFmtId="9" fontId="1" fillId="0" borderId="7" xfId="0" applyNumberFormat="1" applyFont="1" applyBorder="1" applyAlignment="1">
      <alignment horizontal="center"/>
    </xf>
    <xf numFmtId="0" fontId="8" fillId="0" borderId="0" xfId="0" applyFont="1"/>
  </cellXfs>
  <cellStyles count="2">
    <cellStyle name="Hyperlink" xfId="1" builtinId="8"/>
    <cellStyle name="Normal" xfId="0" builtinId="0"/>
  </cellStyles>
  <dxfs count="29">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printerSettings" Target="../printerSettings/printerSettings1.bin"/><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J11" zoomScale="70" zoomScaleNormal="70" workbookViewId="0">
      <selection activeCell="L11" sqref="L11"/>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109</v>
      </c>
      <c r="E1" s="7" t="s">
        <v>105</v>
      </c>
      <c r="F1" s="8" t="s">
        <v>10</v>
      </c>
      <c r="G1" s="8" t="s">
        <v>181</v>
      </c>
      <c r="H1" s="4" t="s">
        <v>1</v>
      </c>
      <c r="I1" s="4" t="s">
        <v>2</v>
      </c>
      <c r="J1" s="4" t="s">
        <v>3</v>
      </c>
      <c r="K1" s="4" t="s">
        <v>182</v>
      </c>
      <c r="L1" s="9" t="s">
        <v>49</v>
      </c>
      <c r="M1" s="8" t="s">
        <v>24</v>
      </c>
      <c r="N1" s="8" t="s">
        <v>71</v>
      </c>
      <c r="O1" s="8" t="s">
        <v>70</v>
      </c>
      <c r="P1" s="8" t="s">
        <v>11</v>
      </c>
      <c r="Q1" s="8" t="s">
        <v>107</v>
      </c>
      <c r="R1" s="9" t="s">
        <v>108</v>
      </c>
      <c r="S1" s="7" t="s">
        <v>106</v>
      </c>
    </row>
    <row r="2" spans="1:19" ht="105" x14ac:dyDescent="0.25">
      <c r="A2" s="10">
        <v>2026</v>
      </c>
      <c r="B2" s="10" t="s">
        <v>13</v>
      </c>
      <c r="C2" s="10" t="s">
        <v>23</v>
      </c>
      <c r="D2" s="19" t="s">
        <v>34</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 t="shared" ref="G2:G13" si="0">IF(ISNUMBER(SEARCH("PV de désaccord",C2)),TRUE,IF(AND(B2="LAN",I2=TRUE),TRUE,IF(AND(B2="NPS",I2=TRUE,K2=TRUE),TRUE,_xlfn.LET(_xlpm.ok,COUNTIF(H2:J2,TRUE),_xlpm.av,COUNTIF(H2:J2,"À vérifier"),IF(_xlpm.ok&gt;=2,TRUE,IF(_xlpm.ok+_xlpm.av&gt;=2,"À vérifier",FALSE))))))</f>
        <v>1</v>
      </c>
      <c r="H2" s="13" t="b">
        <v>0</v>
      </c>
      <c r="I2" s="13" t="b">
        <v>1</v>
      </c>
      <c r="J2" s="13" t="b">
        <v>1</v>
      </c>
      <c r="K2" s="13" t="str">
        <f t="shared" ref="K2:K15" si="1">IF(OR(B2="NNF",B2="LAN"),"-",ISNUMBER(SEARCH("de la CFTC",M2)))</f>
        <v>-</v>
      </c>
      <c r="L2" s="19" t="s">
        <v>292</v>
      </c>
      <c r="M2" s="12" t="s">
        <v>153</v>
      </c>
      <c r="N2" s="11" t="s">
        <v>84</v>
      </c>
      <c r="O2" s="11" t="s">
        <v>188</v>
      </c>
      <c r="P2" s="11" t="s">
        <v>264</v>
      </c>
      <c r="Q2" s="15" t="s">
        <v>110</v>
      </c>
      <c r="R2" s="19" t="s">
        <v>40</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150</v>
      </c>
      <c r="C3" s="10" t="s">
        <v>120</v>
      </c>
      <c r="D3" s="19" t="s">
        <v>130</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 t="shared" si="0"/>
        <v>1</v>
      </c>
      <c r="H3" s="13" t="b">
        <v>1</v>
      </c>
      <c r="I3" s="13" t="b">
        <v>1</v>
      </c>
      <c r="J3" s="13" t="b">
        <v>1</v>
      </c>
      <c r="K3" s="13" t="str">
        <f t="shared" si="1"/>
        <v>-</v>
      </c>
      <c r="L3" s="19" t="s">
        <v>293</v>
      </c>
      <c r="M3" s="11" t="s">
        <v>152</v>
      </c>
      <c r="N3" s="11" t="s">
        <v>140</v>
      </c>
      <c r="O3" s="11"/>
      <c r="P3" s="17" t="s">
        <v>192</v>
      </c>
      <c r="Q3" s="15"/>
      <c r="R3" s="19"/>
      <c r="S3" s="11"/>
    </row>
    <row r="4" spans="1:19" ht="45" x14ac:dyDescent="0.25">
      <c r="A4" s="10">
        <v>2026</v>
      </c>
      <c r="B4" s="10" t="s">
        <v>14</v>
      </c>
      <c r="C4" s="10" t="s">
        <v>121</v>
      </c>
      <c r="D4" s="19" t="s">
        <v>131</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 t="shared" si="0"/>
        <v>1</v>
      </c>
      <c r="H4" s="13" t="b">
        <v>1</v>
      </c>
      <c r="I4" s="13" t="b">
        <v>1</v>
      </c>
      <c r="J4" s="13" t="b">
        <v>1</v>
      </c>
      <c r="K4" s="13" t="b">
        <f t="shared" si="1"/>
        <v>1</v>
      </c>
      <c r="L4" s="19" t="s">
        <v>294</v>
      </c>
      <c r="M4" s="11" t="s">
        <v>63</v>
      </c>
      <c r="N4" s="11" t="s">
        <v>141</v>
      </c>
      <c r="O4" s="11"/>
      <c r="P4" s="17" t="s">
        <v>193</v>
      </c>
      <c r="Q4" s="15"/>
      <c r="R4" s="19"/>
      <c r="S4" s="11"/>
    </row>
    <row r="5" spans="1:19" ht="165" x14ac:dyDescent="0.25">
      <c r="A5" s="10">
        <v>2026</v>
      </c>
      <c r="B5" s="10" t="s">
        <v>13</v>
      </c>
      <c r="C5" s="10" t="s">
        <v>266</v>
      </c>
      <c r="D5" s="19" t="s">
        <v>77</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 t="shared" si="0"/>
        <v>1</v>
      </c>
      <c r="H5" s="13" t="b">
        <v>1</v>
      </c>
      <c r="I5" s="13" t="b">
        <v>1</v>
      </c>
      <c r="J5" s="13" t="b">
        <v>1</v>
      </c>
      <c r="K5" s="13" t="str">
        <f t="shared" si="1"/>
        <v>-</v>
      </c>
      <c r="L5" s="19" t="s">
        <v>295</v>
      </c>
      <c r="M5" s="12" t="s">
        <v>64</v>
      </c>
      <c r="N5" s="11" t="s">
        <v>283</v>
      </c>
      <c r="O5" s="11" t="s">
        <v>281</v>
      </c>
      <c r="P5" s="11" t="s">
        <v>269</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90" x14ac:dyDescent="0.25">
      <c r="A6" s="10">
        <v>2026</v>
      </c>
      <c r="B6" s="10" t="s">
        <v>13</v>
      </c>
      <c r="C6" s="10" t="s">
        <v>15</v>
      </c>
      <c r="D6" s="19" t="s">
        <v>72</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 t="shared" si="0"/>
        <v>1</v>
      </c>
      <c r="H6" s="13" t="b">
        <v>1</v>
      </c>
      <c r="I6" s="13" t="b">
        <v>1</v>
      </c>
      <c r="J6" s="13" t="b">
        <v>1</v>
      </c>
      <c r="K6" s="13" t="str">
        <f t="shared" si="1"/>
        <v>-</v>
      </c>
      <c r="L6" s="19" t="s">
        <v>296</v>
      </c>
      <c r="M6" s="12" t="s">
        <v>154</v>
      </c>
      <c r="N6" s="10" t="s">
        <v>85</v>
      </c>
      <c r="O6" s="10" t="s">
        <v>189</v>
      </c>
      <c r="P6" s="17" t="s">
        <v>265</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150</v>
      </c>
      <c r="C7" s="10" t="s">
        <v>125</v>
      </c>
      <c r="D7" s="19" t="s">
        <v>138</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 t="shared" si="0"/>
        <v>1</v>
      </c>
      <c r="H7" s="13" t="b">
        <v>1</v>
      </c>
      <c r="I7" s="13" t="b">
        <v>1</v>
      </c>
      <c r="J7" s="13" t="b">
        <v>1</v>
      </c>
      <c r="K7" s="13" t="str">
        <f t="shared" si="1"/>
        <v>-</v>
      </c>
      <c r="L7" s="19" t="s">
        <v>297</v>
      </c>
      <c r="M7" s="11" t="s">
        <v>155</v>
      </c>
      <c r="N7" s="11" t="s">
        <v>145</v>
      </c>
      <c r="O7" s="11"/>
      <c r="P7" s="17" t="s">
        <v>209</v>
      </c>
      <c r="Q7" s="15"/>
      <c r="R7" s="19"/>
      <c r="S7" s="11"/>
    </row>
    <row r="8" spans="1:19" ht="90" x14ac:dyDescent="0.25">
      <c r="A8" s="10">
        <v>2026</v>
      </c>
      <c r="B8" s="10" t="s">
        <v>13</v>
      </c>
      <c r="C8" s="10" t="s">
        <v>53</v>
      </c>
      <c r="D8" s="19" t="s">
        <v>78</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 t="shared" si="0"/>
        <v>1</v>
      </c>
      <c r="H8" s="13" t="b">
        <v>1</v>
      </c>
      <c r="I8" s="13" t="b">
        <v>1</v>
      </c>
      <c r="J8" s="13" t="b">
        <v>1</v>
      </c>
      <c r="K8" s="13" t="str">
        <f t="shared" si="1"/>
        <v>-</v>
      </c>
      <c r="L8" s="19" t="s">
        <v>298</v>
      </c>
      <c r="M8" s="12" t="s">
        <v>61</v>
      </c>
      <c r="N8" s="11" t="s">
        <v>274</v>
      </c>
      <c r="O8" s="11" t="s">
        <v>233</v>
      </c>
      <c r="P8" s="17" t="s">
        <v>275</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52</v>
      </c>
      <c r="D9" s="19" t="s">
        <v>59</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 t="shared" si="0"/>
        <v>1</v>
      </c>
      <c r="H9" s="13" t="b">
        <v>0</v>
      </c>
      <c r="I9" s="13" t="b">
        <v>1</v>
      </c>
      <c r="J9" s="13" t="b">
        <v>1</v>
      </c>
      <c r="K9" s="13" t="str">
        <f t="shared" si="1"/>
        <v>-</v>
      </c>
      <c r="L9" s="19" t="s">
        <v>299</v>
      </c>
      <c r="M9" s="12" t="s">
        <v>156</v>
      </c>
      <c r="N9" s="11" t="s">
        <v>86</v>
      </c>
      <c r="O9" s="11" t="s">
        <v>210</v>
      </c>
      <c r="P9" s="11" t="s">
        <v>211</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51</v>
      </c>
      <c r="D10" s="19" t="s">
        <v>39</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 t="shared" si="0"/>
        <v>1</v>
      </c>
      <c r="H10" s="13" t="b">
        <v>1</v>
      </c>
      <c r="I10" s="13" t="b">
        <v>1</v>
      </c>
      <c r="J10" s="13" t="b">
        <v>1</v>
      </c>
      <c r="K10" s="13" t="b">
        <f t="shared" si="1"/>
        <v>1</v>
      </c>
      <c r="L10" s="19" t="s">
        <v>300</v>
      </c>
      <c r="M10" s="12" t="s">
        <v>157</v>
      </c>
      <c r="N10" s="10" t="s">
        <v>87</v>
      </c>
      <c r="O10" s="10"/>
      <c r="P10" s="10" t="s">
        <v>212</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135" x14ac:dyDescent="0.25">
      <c r="A11" s="10">
        <v>2026</v>
      </c>
      <c r="B11" s="10" t="s">
        <v>13</v>
      </c>
      <c r="C11" s="10" t="s">
        <v>50</v>
      </c>
      <c r="D11" s="19" t="s">
        <v>79</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 t="shared" si="0"/>
        <v>1</v>
      </c>
      <c r="H11" s="13" t="b">
        <v>0</v>
      </c>
      <c r="I11" s="13" t="b">
        <v>1</v>
      </c>
      <c r="J11" s="13" t="b">
        <v>1</v>
      </c>
      <c r="K11" s="13" t="str">
        <f t="shared" si="1"/>
        <v>-</v>
      </c>
      <c r="L11" s="19" t="s">
        <v>301</v>
      </c>
      <c r="M11" s="12" t="s">
        <v>158</v>
      </c>
      <c r="N11" s="11" t="s">
        <v>88</v>
      </c>
      <c r="O11" s="11" t="s">
        <v>213</v>
      </c>
      <c r="P11" s="11" t="s">
        <v>291</v>
      </c>
      <c r="Q11" s="15" t="s">
        <v>111</v>
      </c>
      <c r="R11" s="19" t="s">
        <v>41</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80</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 t="shared" si="0"/>
        <v>1</v>
      </c>
      <c r="H12" s="13" t="b">
        <v>0</v>
      </c>
      <c r="I12" s="13" t="b">
        <v>1</v>
      </c>
      <c r="J12" s="13" t="b">
        <v>1</v>
      </c>
      <c r="K12" s="13" t="str">
        <f t="shared" si="1"/>
        <v>-</v>
      </c>
      <c r="L12" s="19" t="s">
        <v>302</v>
      </c>
      <c r="M12" s="12" t="s">
        <v>159</v>
      </c>
      <c r="N12" s="11" t="s">
        <v>89</v>
      </c>
      <c r="O12" s="11" t="s">
        <v>214</v>
      </c>
      <c r="P12" s="11" t="s">
        <v>173</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81</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 t="shared" si="0"/>
        <v>1</v>
      </c>
      <c r="H13" s="13" t="b">
        <v>0</v>
      </c>
      <c r="I13" s="13" t="b">
        <v>1</v>
      </c>
      <c r="J13" s="13" t="b">
        <v>1</v>
      </c>
      <c r="K13" s="13" t="str">
        <f t="shared" si="1"/>
        <v>-</v>
      </c>
      <c r="L13" s="19" t="s">
        <v>303</v>
      </c>
      <c r="M13" s="12" t="s">
        <v>160</v>
      </c>
      <c r="N13" s="11" t="s">
        <v>90</v>
      </c>
      <c r="O13" s="11" t="s">
        <v>215</v>
      </c>
      <c r="P13" s="11" t="s">
        <v>174</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75" x14ac:dyDescent="0.25">
      <c r="A14" s="10">
        <v>2025</v>
      </c>
      <c r="B14" s="10" t="s">
        <v>13</v>
      </c>
      <c r="C14" s="10" t="s">
        <v>202</v>
      </c>
      <c r="D14" s="19" t="s">
        <v>332</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b">
        <v>0</v>
      </c>
      <c r="I14" s="13" t="b">
        <v>0</v>
      </c>
      <c r="J14" s="13" t="b">
        <v>0</v>
      </c>
      <c r="K14" s="13" t="str">
        <f t="shared" si="1"/>
        <v>-</v>
      </c>
      <c r="L14" t="s">
        <v>304</v>
      </c>
      <c r="M14" s="12" t="s">
        <v>62</v>
      </c>
      <c r="N14" s="11" t="s">
        <v>276</v>
      </c>
      <c r="O14" s="11" t="s">
        <v>216</v>
      </c>
      <c r="P14" s="11" t="s">
        <v>270</v>
      </c>
      <c r="Q14" s="15" t="s">
        <v>112</v>
      </c>
      <c r="R14" s="19" t="s">
        <v>42</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90"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 t="shared" si="1"/>
        <v>-</v>
      </c>
      <c r="L15" s="19" t="s">
        <v>305</v>
      </c>
      <c r="M15" s="12" t="s">
        <v>161</v>
      </c>
      <c r="N15" s="11" t="s">
        <v>91</v>
      </c>
      <c r="O15" s="11" t="s">
        <v>190</v>
      </c>
      <c r="P15" s="11" t="s">
        <v>273</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05" x14ac:dyDescent="0.25">
      <c r="A16" s="10">
        <v>2025</v>
      </c>
      <c r="B16" s="10" t="s">
        <v>13</v>
      </c>
      <c r="C16" s="10" t="s">
        <v>208</v>
      </c>
      <c r="D16" s="19" t="s">
        <v>333</v>
      </c>
      <c r="E16" s="11" t="s">
        <v>207</v>
      </c>
      <c r="F16" s="12">
        <f>DATE(2025,4,9)</f>
        <v>45756</v>
      </c>
      <c r="G16" s="13" t="b">
        <v>1</v>
      </c>
      <c r="H16" s="13" t="b">
        <v>1</v>
      </c>
      <c r="I16" s="13" t="b">
        <v>1</v>
      </c>
      <c r="J16" s="13" t="b">
        <v>1</v>
      </c>
      <c r="K16" s="13" t="s">
        <v>8</v>
      </c>
      <c r="L16" s="19" t="s">
        <v>306</v>
      </c>
      <c r="M16" s="12" t="s">
        <v>166</v>
      </c>
      <c r="N16" s="11" t="s">
        <v>277</v>
      </c>
      <c r="O16" s="11" t="s">
        <v>236</v>
      </c>
      <c r="P16" s="15" t="s">
        <v>278</v>
      </c>
      <c r="Q16" s="15" t="s">
        <v>8</v>
      </c>
      <c r="R16" s="19" t="s">
        <v>8</v>
      </c>
      <c r="S16" s="11" t="s">
        <v>8</v>
      </c>
    </row>
    <row r="17" spans="1:19" ht="45" x14ac:dyDescent="0.25">
      <c r="A17" s="10">
        <v>2025</v>
      </c>
      <c r="B17" s="10" t="s">
        <v>13</v>
      </c>
      <c r="C17" s="10" t="s">
        <v>124</v>
      </c>
      <c r="D17" s="19" t="s">
        <v>137</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 t="shared" ref="K17:K41" si="2">IF(OR(B17="NNF",B17="LAN"),"-",ISNUMBER(SEARCH("de la CFTC",M17)))</f>
        <v>-</v>
      </c>
      <c r="L17" s="19" t="s">
        <v>307</v>
      </c>
      <c r="M17" s="11" t="s">
        <v>162</v>
      </c>
      <c r="N17" s="11" t="s">
        <v>144</v>
      </c>
      <c r="O17" s="11" t="s">
        <v>179</v>
      </c>
      <c r="P17" s="11" t="s">
        <v>217</v>
      </c>
      <c r="Q17" s="15"/>
      <c r="R17" s="19"/>
      <c r="S17" s="11"/>
    </row>
    <row r="18" spans="1:19" ht="60" x14ac:dyDescent="0.25">
      <c r="A18" s="10">
        <v>2025</v>
      </c>
      <c r="B18" s="10" t="s">
        <v>13</v>
      </c>
      <c r="C18" s="10" t="s">
        <v>19</v>
      </c>
      <c r="D18" s="1" t="s">
        <v>82</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 t="shared" si="2"/>
        <v>-</v>
      </c>
      <c r="L18" s="19" t="s">
        <v>308</v>
      </c>
      <c r="M18" s="12" t="s">
        <v>67</v>
      </c>
      <c r="N18" s="11" t="s">
        <v>92</v>
      </c>
      <c r="O18" s="11" t="s">
        <v>218</v>
      </c>
      <c r="P18" s="11" t="s">
        <v>194</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60" x14ac:dyDescent="0.25">
      <c r="A19" s="10">
        <v>2025</v>
      </c>
      <c r="B19" s="10" t="s">
        <v>13</v>
      </c>
      <c r="C19" s="10" t="s">
        <v>203</v>
      </c>
      <c r="D19" s="19" t="s">
        <v>38</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b">
        <v>0</v>
      </c>
      <c r="I19" s="13" t="b">
        <v>1</v>
      </c>
      <c r="J19" s="13" t="b">
        <v>0</v>
      </c>
      <c r="K19" s="13" t="str">
        <f t="shared" si="2"/>
        <v>-</v>
      </c>
      <c r="L19" s="19" t="s">
        <v>309</v>
      </c>
      <c r="M19" s="12" t="s">
        <v>267</v>
      </c>
      <c r="N19" s="11" t="s">
        <v>268</v>
      </c>
      <c r="O19" s="11" t="s">
        <v>219</v>
      </c>
      <c r="P19" s="11" t="s">
        <v>195</v>
      </c>
      <c r="Q19" s="15" t="s">
        <v>113</v>
      </c>
      <c r="R19" s="19" t="s">
        <v>43</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150</v>
      </c>
      <c r="C20" s="10" t="s">
        <v>122</v>
      </c>
      <c r="D20" s="19" t="s">
        <v>135</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 t="shared" si="2"/>
        <v>-</v>
      </c>
      <c r="L20" t="s">
        <v>310</v>
      </c>
      <c r="M20" s="11" t="s">
        <v>163</v>
      </c>
      <c r="N20" s="11" t="s">
        <v>142</v>
      </c>
      <c r="O20" s="11" t="s">
        <v>220</v>
      </c>
      <c r="P20" s="11" t="s">
        <v>196</v>
      </c>
      <c r="Q20" s="15"/>
      <c r="R20" s="19"/>
      <c r="S20" s="11"/>
    </row>
    <row r="21" spans="1:19" ht="45" x14ac:dyDescent="0.25">
      <c r="A21" s="10">
        <v>2025</v>
      </c>
      <c r="B21" s="10" t="s">
        <v>150</v>
      </c>
      <c r="C21" s="10" t="s">
        <v>123</v>
      </c>
      <c r="D21" s="19" t="s">
        <v>136</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 t="shared" si="2"/>
        <v>-</v>
      </c>
      <c r="L21" t="s">
        <v>311</v>
      </c>
      <c r="M21" s="11" t="s">
        <v>164</v>
      </c>
      <c r="N21" s="11" t="s">
        <v>143</v>
      </c>
      <c r="O21" s="11" t="s">
        <v>184</v>
      </c>
      <c r="P21" s="11" t="s">
        <v>183</v>
      </c>
      <c r="Q21" s="15"/>
      <c r="R21" s="19"/>
      <c r="S21" s="11"/>
    </row>
    <row r="22" spans="1:19" ht="90" x14ac:dyDescent="0.25">
      <c r="A22" s="10">
        <v>2025</v>
      </c>
      <c r="B22" s="10" t="s">
        <v>13</v>
      </c>
      <c r="C22" s="10" t="s">
        <v>55</v>
      </c>
      <c r="D22" s="19" t="s">
        <v>83</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 t="shared" si="2"/>
        <v>-</v>
      </c>
      <c r="L22" s="19" t="s">
        <v>312</v>
      </c>
      <c r="M22" s="12" t="s">
        <v>156</v>
      </c>
      <c r="N22" s="11" t="s">
        <v>93</v>
      </c>
      <c r="O22" s="11" t="s">
        <v>221</v>
      </c>
      <c r="P22" s="11" t="s">
        <v>222</v>
      </c>
      <c r="Q22" s="15" t="s">
        <v>114</v>
      </c>
      <c r="R22" s="19" t="s">
        <v>44</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56</v>
      </c>
      <c r="D23" s="19" t="s">
        <v>73</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 t="shared" si="2"/>
        <v>1</v>
      </c>
      <c r="L23" s="19" t="s">
        <v>313</v>
      </c>
      <c r="M23" s="14" t="s">
        <v>165</v>
      </c>
      <c r="N23" s="10" t="s">
        <v>94</v>
      </c>
      <c r="O23" s="10"/>
      <c r="P23" s="10" t="s">
        <v>212</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36</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 t="shared" si="2"/>
        <v>-</v>
      </c>
      <c r="L24" s="19" t="s">
        <v>314</v>
      </c>
      <c r="M24" s="12" t="s">
        <v>152</v>
      </c>
      <c r="N24" s="11" t="s">
        <v>95</v>
      </c>
      <c r="O24" s="11" t="s">
        <v>223</v>
      </c>
      <c r="P24" s="11" t="s">
        <v>175</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204</v>
      </c>
      <c r="D25" s="19" t="s">
        <v>74</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b">
        <v>0</v>
      </c>
      <c r="I25" s="13" t="b">
        <v>0</v>
      </c>
      <c r="J25" s="13" t="b">
        <v>0</v>
      </c>
      <c r="K25" s="13" t="str">
        <f t="shared" si="2"/>
        <v>-</v>
      </c>
      <c r="L25" s="19" t="s">
        <v>315</v>
      </c>
      <c r="M25" s="12" t="s">
        <v>62</v>
      </c>
      <c r="N25" s="11" t="s">
        <v>279</v>
      </c>
      <c r="O25" s="11" t="s">
        <v>191</v>
      </c>
      <c r="P25" s="11" t="s">
        <v>280</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90" x14ac:dyDescent="0.25">
      <c r="A26" s="10">
        <v>2024</v>
      </c>
      <c r="B26" s="10" t="s">
        <v>14</v>
      </c>
      <c r="C26" s="10" t="s">
        <v>7</v>
      </c>
      <c r="D26" s="19" t="s">
        <v>32</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 t="shared" si="2"/>
        <v>1</v>
      </c>
      <c r="L26" s="19" t="s">
        <v>316</v>
      </c>
      <c r="M26" s="12" t="s">
        <v>65</v>
      </c>
      <c r="N26" s="11" t="s">
        <v>96</v>
      </c>
      <c r="O26" s="11" t="s">
        <v>272</v>
      </c>
      <c r="P26" s="11" t="s">
        <v>271</v>
      </c>
      <c r="Q26" s="15" t="s">
        <v>115</v>
      </c>
      <c r="R26" s="19" t="s">
        <v>45</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205</v>
      </c>
      <c r="D27" s="19" t="s">
        <v>37</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b">
        <v>0</v>
      </c>
      <c r="I27" s="13" t="b">
        <v>0</v>
      </c>
      <c r="J27" s="13" t="b">
        <v>0</v>
      </c>
      <c r="K27" s="13" t="str">
        <f t="shared" si="2"/>
        <v>-</v>
      </c>
      <c r="L27" s="19" t="s">
        <v>317</v>
      </c>
      <c r="M27" s="12" t="s">
        <v>62</v>
      </c>
      <c r="N27" s="11" t="s">
        <v>224</v>
      </c>
      <c r="O27" s="11" t="s">
        <v>225</v>
      </c>
      <c r="P27" s="11" t="s">
        <v>197</v>
      </c>
      <c r="Q27" s="15" t="s">
        <v>117</v>
      </c>
      <c r="R27" s="19" t="s">
        <v>76</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33</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 t="shared" ref="G28:G35" si="3">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 t="shared" si="2"/>
        <v>-</v>
      </c>
      <c r="L28" s="19" t="s">
        <v>318</v>
      </c>
      <c r="M28" s="12" t="s">
        <v>60</v>
      </c>
      <c r="N28" s="11" t="s">
        <v>69</v>
      </c>
      <c r="O28" s="11" t="s">
        <v>226</v>
      </c>
      <c r="P28" s="17" t="s">
        <v>176</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150</v>
      </c>
      <c r="C29" s="10" t="s">
        <v>126</v>
      </c>
      <c r="D29" s="19" t="s">
        <v>132</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 t="shared" si="3"/>
        <v>1</v>
      </c>
      <c r="H29" s="13" t="b">
        <v>1</v>
      </c>
      <c r="I29" s="13" t="b">
        <v>1</v>
      </c>
      <c r="J29" s="13" t="b">
        <v>1</v>
      </c>
      <c r="K29" s="13" t="str">
        <f t="shared" si="2"/>
        <v>-</v>
      </c>
      <c r="L29" s="19" t="s">
        <v>319</v>
      </c>
      <c r="M29" s="11" t="s">
        <v>166</v>
      </c>
      <c r="N29" s="11" t="s">
        <v>146</v>
      </c>
      <c r="O29" s="11" t="s">
        <v>185</v>
      </c>
      <c r="P29" s="17" t="s">
        <v>198</v>
      </c>
      <c r="Q29" s="15"/>
      <c r="R29" s="19"/>
      <c r="S29" s="11"/>
    </row>
    <row r="30" spans="1:19" ht="63" customHeight="1" x14ac:dyDescent="0.25">
      <c r="A30" s="10">
        <v>2024</v>
      </c>
      <c r="B30" s="10" t="s">
        <v>14</v>
      </c>
      <c r="C30" s="10" t="s">
        <v>57</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 t="shared" si="3"/>
        <v>1</v>
      </c>
      <c r="H30" s="13" t="b">
        <v>1</v>
      </c>
      <c r="I30" s="13" t="b">
        <v>1</v>
      </c>
      <c r="J30" s="13" t="b">
        <v>1</v>
      </c>
      <c r="K30" s="13" t="b">
        <f t="shared" si="2"/>
        <v>1</v>
      </c>
      <c r="L30" s="19" t="s">
        <v>320</v>
      </c>
      <c r="M30" s="12" t="s">
        <v>167</v>
      </c>
      <c r="N30" s="11" t="s">
        <v>97</v>
      </c>
      <c r="O30" s="11" t="s">
        <v>186</v>
      </c>
      <c r="P30" s="17" t="s">
        <v>198</v>
      </c>
      <c r="Q30" s="15" t="s">
        <v>116</v>
      </c>
      <c r="R30" s="19" t="s">
        <v>46</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127</v>
      </c>
      <c r="D31" s="19" t="s">
        <v>133</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 t="shared" si="3"/>
        <v>1</v>
      </c>
      <c r="H31" s="13" t="b">
        <v>1</v>
      </c>
      <c r="I31" s="13" t="b">
        <v>1</v>
      </c>
      <c r="J31" s="13" t="b">
        <v>1</v>
      </c>
      <c r="K31" s="13" t="str">
        <f t="shared" si="2"/>
        <v>-</v>
      </c>
      <c r="L31" s="19" t="s">
        <v>321</v>
      </c>
      <c r="M31" s="11" t="s">
        <v>166</v>
      </c>
      <c r="N31" s="11" t="s">
        <v>147</v>
      </c>
      <c r="O31" s="11" t="s">
        <v>187</v>
      </c>
      <c r="P31" s="11" t="s">
        <v>198</v>
      </c>
      <c r="Q31" s="15"/>
      <c r="R31" s="19"/>
      <c r="S31" s="11"/>
    </row>
    <row r="32" spans="1:19" ht="45" x14ac:dyDescent="0.25">
      <c r="A32" s="10">
        <v>2023</v>
      </c>
      <c r="B32" s="10" t="s">
        <v>13</v>
      </c>
      <c r="C32" s="10" t="s">
        <v>58</v>
      </c>
      <c r="D32" s="19" t="s">
        <v>75</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 t="shared" si="3"/>
        <v>1</v>
      </c>
      <c r="H32" s="13" t="b">
        <v>1</v>
      </c>
      <c r="I32" s="13" t="b">
        <v>1</v>
      </c>
      <c r="J32" s="13" t="b">
        <v>1</v>
      </c>
      <c r="K32" s="13" t="str">
        <f t="shared" si="2"/>
        <v>-</v>
      </c>
      <c r="L32" s="19" t="s">
        <v>322</v>
      </c>
      <c r="M32" s="12" t="s">
        <v>60</v>
      </c>
      <c r="N32" s="11" t="s">
        <v>98</v>
      </c>
      <c r="O32" s="11" t="s">
        <v>235</v>
      </c>
      <c r="P32" s="17" t="s">
        <v>234</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54</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 t="shared" si="3"/>
        <v>1</v>
      </c>
      <c r="H33" s="13" t="b">
        <v>1</v>
      </c>
      <c r="I33" s="13" t="b">
        <v>1</v>
      </c>
      <c r="J33" s="13" t="b">
        <v>1</v>
      </c>
      <c r="K33" s="13" t="b">
        <f t="shared" si="2"/>
        <v>1</v>
      </c>
      <c r="L33" s="19" t="s">
        <v>323</v>
      </c>
      <c r="M33" s="12" t="s">
        <v>168</v>
      </c>
      <c r="N33" s="11" t="s">
        <v>99</v>
      </c>
      <c r="O33" s="11" t="s">
        <v>177</v>
      </c>
      <c r="P33" s="11" t="s">
        <v>212</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31</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 t="shared" si="3"/>
        <v>1</v>
      </c>
      <c r="H34" s="13" t="b">
        <v>1</v>
      </c>
      <c r="I34" s="13" t="b">
        <v>1</v>
      </c>
      <c r="J34" s="13" t="b">
        <v>1</v>
      </c>
      <c r="K34" s="13" t="str">
        <f t="shared" si="2"/>
        <v>-</v>
      </c>
      <c r="L34" s="19" t="s">
        <v>324</v>
      </c>
      <c r="M34" s="12" t="s">
        <v>66</v>
      </c>
      <c r="N34" s="11" t="s">
        <v>100</v>
      </c>
      <c r="O34" s="11" t="s">
        <v>180</v>
      </c>
      <c r="P34" s="11" t="s">
        <v>199</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120" x14ac:dyDescent="0.25">
      <c r="A35" s="10">
        <v>2023</v>
      </c>
      <c r="B35" s="10" t="s">
        <v>13</v>
      </c>
      <c r="C35" s="10" t="s">
        <v>5</v>
      </c>
      <c r="D35" s="19" t="s">
        <v>30</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 t="shared" si="3"/>
        <v>1</v>
      </c>
      <c r="H35" s="13" t="b">
        <v>1</v>
      </c>
      <c r="I35" s="13" t="b">
        <v>1</v>
      </c>
      <c r="J35" s="13" t="b">
        <v>0</v>
      </c>
      <c r="K35" s="13" t="str">
        <f t="shared" si="2"/>
        <v>-</v>
      </c>
      <c r="L35" s="19" t="s">
        <v>325</v>
      </c>
      <c r="M35" s="12" t="s">
        <v>169</v>
      </c>
      <c r="N35" s="11" t="s">
        <v>101</v>
      </c>
      <c r="O35" s="11" t="s">
        <v>227</v>
      </c>
      <c r="P35" s="11" t="s">
        <v>282</v>
      </c>
      <c r="Q35" s="15" t="s">
        <v>118</v>
      </c>
      <c r="R35" s="19" t="s">
        <v>47</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60" x14ac:dyDescent="0.25">
      <c r="A36" s="10">
        <v>2023</v>
      </c>
      <c r="B36" s="10" t="s">
        <v>13</v>
      </c>
      <c r="C36" s="10" t="s">
        <v>206</v>
      </c>
      <c r="D36" s="19" t="s">
        <v>35</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b">
        <v>0</v>
      </c>
      <c r="I36" s="13" t="b">
        <v>0</v>
      </c>
      <c r="J36" s="13" t="b">
        <v>0</v>
      </c>
      <c r="K36" s="13" t="str">
        <f t="shared" si="2"/>
        <v>-</v>
      </c>
      <c r="L36" s="19" t="s">
        <v>326</v>
      </c>
      <c r="M36" s="12" t="s">
        <v>62</v>
      </c>
      <c r="N36" s="11" t="s">
        <v>288</v>
      </c>
      <c r="O36" s="11" t="s">
        <v>228</v>
      </c>
      <c r="P36" s="11" t="s">
        <v>178</v>
      </c>
      <c r="Q36" s="15" t="s">
        <v>119</v>
      </c>
      <c r="R36" s="19" t="s">
        <v>48</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28</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 t="shared" si="2"/>
        <v>-</v>
      </c>
      <c r="L37" s="19" t="s">
        <v>327</v>
      </c>
      <c r="M37" s="12" t="s">
        <v>170</v>
      </c>
      <c r="N37" s="11" t="s">
        <v>102</v>
      </c>
      <c r="O37" s="11" t="s">
        <v>229</v>
      </c>
      <c r="P37" s="17" t="s">
        <v>200</v>
      </c>
      <c r="Q37" s="15" t="s">
        <v>119</v>
      </c>
      <c r="R37" s="19" t="s">
        <v>48</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68</v>
      </c>
      <c r="D38" s="19" t="s">
        <v>151</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 t="shared" si="2"/>
        <v>1</v>
      </c>
      <c r="L38" s="19" t="s">
        <v>328</v>
      </c>
      <c r="M38" s="12" t="s">
        <v>165</v>
      </c>
      <c r="N38" s="11" t="s">
        <v>104</v>
      </c>
      <c r="O38" s="11"/>
      <c r="P38" s="11" t="s">
        <v>212</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150</v>
      </c>
      <c r="C39" s="10" t="s">
        <v>129</v>
      </c>
      <c r="D39" s="19" t="s">
        <v>139</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 t="shared" si="2"/>
        <v>-</v>
      </c>
      <c r="L39" s="19" t="s">
        <v>329</v>
      </c>
      <c r="M39" s="12" t="s">
        <v>171</v>
      </c>
      <c r="N39" s="11" t="s">
        <v>149</v>
      </c>
      <c r="O39" s="11"/>
      <c r="P39" s="11" t="s">
        <v>230</v>
      </c>
      <c r="Q39" s="15"/>
      <c r="R39" s="19"/>
      <c r="S39" s="11"/>
    </row>
    <row r="40" spans="1:19" ht="30" x14ac:dyDescent="0.25">
      <c r="A40" s="10">
        <v>2023</v>
      </c>
      <c r="B40" s="10" t="s">
        <v>14</v>
      </c>
      <c r="C40" s="10" t="s">
        <v>128</v>
      </c>
      <c r="D40" s="19" t="s">
        <v>134</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 t="shared" si="2"/>
        <v>1</v>
      </c>
      <c r="L40" s="19" t="s">
        <v>330</v>
      </c>
      <c r="M40" s="12" t="s">
        <v>172</v>
      </c>
      <c r="N40" s="11" t="s">
        <v>148</v>
      </c>
      <c r="O40" s="11"/>
      <c r="P40" s="15" t="s">
        <v>231</v>
      </c>
      <c r="Q40" s="15"/>
      <c r="R40" s="19"/>
      <c r="S40" s="11"/>
    </row>
    <row r="41" spans="1:19" ht="15" customHeight="1" x14ac:dyDescent="0.25">
      <c r="A41" s="10">
        <v>2023</v>
      </c>
      <c r="B41" s="10" t="s">
        <v>13</v>
      </c>
      <c r="C41" s="10" t="s">
        <v>22</v>
      </c>
      <c r="D41" s="19" t="s">
        <v>29</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 t="shared" si="2"/>
        <v>-</v>
      </c>
      <c r="L41" s="19" t="s">
        <v>331</v>
      </c>
      <c r="M41" s="12" t="s">
        <v>63</v>
      </c>
      <c r="N41" s="11" t="s">
        <v>103</v>
      </c>
      <c r="O41" s="11"/>
      <c r="P41" s="15" t="s">
        <v>201</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A41:R41">
    <cfRule type="containsText" dxfId="28" priority="5" operator="containsText" text="vérifier">
      <formula>NOT(ISERROR(SEARCH("vérifier",A41)))</formula>
    </cfRule>
    <cfRule type="containsText" dxfId="27" priority="6" operator="containsText" text="préciser">
      <formula>NOT(ISERROR(SEARCH("préciser",A41)))</formula>
    </cfRule>
    <cfRule type="containsText" dxfId="26" priority="7" operator="containsText" text="retrouver">
      <formula>NOT(ISERROR(SEARCH("retrouver",A41)))</formula>
    </cfRule>
  </conditionalFormatting>
  <conditionalFormatting sqref="D2:D41">
    <cfRule type="expression" dxfId="25" priority="47">
      <formula>LEN(TRIM($D2))=0</formula>
    </cfRule>
    <cfRule type="containsText" dxfId="24" priority="48" operator="containsText" text="CGT39">
      <formula>NOT(ISERROR(SEARCH("CGT39",D2)))</formula>
    </cfRule>
    <cfRule type="containsText" dxfId="23" priority="49" operator="containsText" text="BDESE">
      <formula>NOT(ISERROR(SEARCH("BDESE",D2)))</formula>
    </cfRule>
    <cfRule type="containsText" dxfId="22" priority="50" operator="containsText" text="HRLibrary">
      <formula>NOT(ISERROR(SEARCH("HRLibrary",D2)))</formula>
    </cfRule>
    <cfRule type="containsText" dxfId="21" priority="51" operator="containsText" text="NokiaNetworksFrance">
      <formula>NOT(ISERROR(SEARCH("NokiaNetworksFrance",D2)))</formula>
    </cfRule>
  </conditionalFormatting>
  <conditionalFormatting sqref="G35">
    <cfRule type="expression" dxfId="20" priority="8">
      <formula>G35=TRUE</formula>
    </cfRule>
    <cfRule type="expression" dxfId="19" priority="9">
      <formula>G35=FALSE</formula>
    </cfRule>
  </conditionalFormatting>
  <conditionalFormatting sqref="G2:L30">
    <cfRule type="expression" dxfId="18" priority="41">
      <formula>G2=TRUE</formula>
    </cfRule>
    <cfRule type="expression" dxfId="17" priority="42">
      <formula>G2=FALSE</formula>
    </cfRule>
  </conditionalFormatting>
  <conditionalFormatting sqref="G31:L40">
    <cfRule type="expression" dxfId="16" priority="10">
      <formula>G31=TRUE</formula>
    </cfRule>
    <cfRule type="expression" dxfId="15" priority="11">
      <formula>G31=FALSE</formula>
    </cfRule>
  </conditionalFormatting>
  <conditionalFormatting sqref="G41:L41">
    <cfRule type="expression" dxfId="14" priority="3">
      <formula>G41=TRUE</formula>
    </cfRule>
    <cfRule type="expression" dxfId="13" priority="4">
      <formula>G41=FALSE</formula>
    </cfRule>
  </conditionalFormatting>
  <conditionalFormatting sqref="H36:J36">
    <cfRule type="expression" dxfId="12" priority="1">
      <formula>H36=TRUE</formula>
    </cfRule>
    <cfRule type="expression" dxfId="11" priority="2">
      <formula>H36=FALSE</formula>
    </cfRule>
  </conditionalFormatting>
  <conditionalFormatting sqref="L30">
    <cfRule type="containsText" dxfId="10" priority="12" operator="containsText" text="vérifier">
      <formula>NOT(ISERROR(SEARCH("vérifier",L30)))</formula>
    </cfRule>
    <cfRule type="containsText" dxfId="9" priority="13" operator="containsText" text="préciser">
      <formula>NOT(ISERROR(SEARCH("préciser",L30)))</formula>
    </cfRule>
    <cfRule type="expression" dxfId="8" priority="14">
      <formula>L30=TRUE</formula>
    </cfRule>
    <cfRule type="expression" dxfId="7" priority="15">
      <formula>L30=FALSE</formula>
    </cfRule>
    <cfRule type="containsText" dxfId="6" priority="16" operator="containsText" text="retrouver">
      <formula>NOT(ISERROR(SEARCH("retrouver",L30)))</formula>
    </cfRule>
  </conditionalFormatting>
  <conditionalFormatting sqref="L28:O30 A2:K40 L31:R31 L32:O32 L33:R36 L37:O37 L38:R40 L2:R2 L3:O4 Q3:R4 L5:R5 L6:O8 Q6:R8 L9:R27 Q28:R30 Q32:R32 Q37:R37">
    <cfRule type="containsText" dxfId="5" priority="26" operator="containsText" text="vérifier">
      <formula>NOT(ISERROR(SEARCH("vérifier",A2)))</formula>
    </cfRule>
    <cfRule type="containsText" dxfId="4" priority="28" operator="containsText" text="préciser">
      <formula>NOT(ISERROR(SEARCH("préciser",A2)))</formula>
    </cfRule>
  </conditionalFormatting>
  <conditionalFormatting sqref="L2:R2 A2:K40 L3:O4 L5:R5 L6:O8 L9:R27 L28:O30 L31:R31 L32:O32 L33:R36 L37:O37 L38:R40 Q3:R4 Q6:R8 Q28:R30 Q32:R32 Q37:R37">
    <cfRule type="containsText" dxfId="3" priority="46" operator="containsText" text="retrouver">
      <formula>NOT(ISERROR(SEARCH("retrouver",A2)))</formula>
    </cfRule>
  </conditionalFormatting>
  <conditionalFormatting sqref="S2:S41">
    <cfRule type="containsText" dxfId="2" priority="20" operator="containsText" text="vérifier">
      <formula>NOT(ISERROR(SEARCH("vérifier",S2)))</formula>
    </cfRule>
    <cfRule type="containsText" dxfId="1" priority="21" operator="containsText" text="préciser">
      <formula>NOT(ISERROR(SEARCH("préciser",S2)))</formula>
    </cfRule>
    <cfRule type="containsText" dxfId="0" priority="22" operator="containsText" text="retrouver">
      <formula>NOT(ISERROR(SEARCH("retrouver",S2)))</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D25" r:id="rId13" xr:uid="{35FF18B8-C1F8-4ACB-AC18-C9B1639EB410}"/>
    <hyperlink ref="D16" r:id="rId14"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5"/>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1" t="s">
        <v>232</v>
      </c>
      <c r="B1" s="20"/>
    </row>
    <row r="2" spans="1:2" x14ac:dyDescent="0.25">
      <c r="A2" s="22" t="s">
        <v>237</v>
      </c>
      <c r="B2" s="22" t="s">
        <v>238</v>
      </c>
    </row>
    <row r="3" spans="1:2" x14ac:dyDescent="0.25">
      <c r="A3" s="20" t="s">
        <v>239</v>
      </c>
      <c r="B3" s="20" t="s">
        <v>240</v>
      </c>
    </row>
    <row r="4" spans="1:2" x14ac:dyDescent="0.25">
      <c r="A4" s="20" t="s">
        <v>239</v>
      </c>
      <c r="B4" s="20" t="s">
        <v>241</v>
      </c>
    </row>
    <row r="5" spans="1:2" x14ac:dyDescent="0.25">
      <c r="A5" s="20" t="s">
        <v>239</v>
      </c>
      <c r="B5" s="20" t="s">
        <v>242</v>
      </c>
    </row>
    <row r="6" spans="1:2" x14ac:dyDescent="0.25">
      <c r="A6" s="20" t="s">
        <v>239</v>
      </c>
      <c r="B6" s="20" t="s">
        <v>243</v>
      </c>
    </row>
    <row r="7" spans="1:2" x14ac:dyDescent="0.25">
      <c r="A7" s="20" t="s">
        <v>244</v>
      </c>
      <c r="B7" s="20" t="s">
        <v>245</v>
      </c>
    </row>
    <row r="8" spans="1:2" x14ac:dyDescent="0.25">
      <c r="A8" s="20" t="s">
        <v>0</v>
      </c>
      <c r="B8" s="20" t="s">
        <v>246</v>
      </c>
    </row>
    <row r="9" spans="1:2" ht="30" x14ac:dyDescent="0.25">
      <c r="A9" s="20" t="s">
        <v>247</v>
      </c>
      <c r="B9" s="20" t="s">
        <v>248</v>
      </c>
    </row>
    <row r="10" spans="1:2" ht="30" x14ac:dyDescent="0.25">
      <c r="A10" s="20" t="s">
        <v>10</v>
      </c>
      <c r="B10" s="20" t="s">
        <v>249</v>
      </c>
    </row>
    <row r="11" spans="1:2" x14ac:dyDescent="0.25">
      <c r="A11" s="20" t="s">
        <v>181</v>
      </c>
      <c r="B11" s="20" t="s">
        <v>250</v>
      </c>
    </row>
    <row r="12" spans="1:2" ht="30" x14ac:dyDescent="0.25">
      <c r="A12" s="20" t="s">
        <v>251</v>
      </c>
      <c r="B12" s="20" t="s">
        <v>252</v>
      </c>
    </row>
    <row r="13" spans="1:2" x14ac:dyDescent="0.25">
      <c r="A13" s="20" t="s">
        <v>251</v>
      </c>
      <c r="B13" s="20" t="s">
        <v>253</v>
      </c>
    </row>
    <row r="14" spans="1:2" x14ac:dyDescent="0.25">
      <c r="A14" s="20" t="s">
        <v>49</v>
      </c>
      <c r="B14" s="20" t="s">
        <v>254</v>
      </c>
    </row>
    <row r="15" spans="1:2" ht="30" x14ac:dyDescent="0.25">
      <c r="A15" s="20" t="s">
        <v>24</v>
      </c>
      <c r="B15" s="20" t="s">
        <v>255</v>
      </c>
    </row>
    <row r="16" spans="1:2" x14ac:dyDescent="0.25">
      <c r="A16" s="20" t="s">
        <v>24</v>
      </c>
      <c r="B16" s="20" t="s">
        <v>256</v>
      </c>
    </row>
    <row r="17" spans="1:2" ht="30" x14ac:dyDescent="0.25">
      <c r="A17" s="20" t="s">
        <v>24</v>
      </c>
      <c r="B17" s="20" t="s">
        <v>257</v>
      </c>
    </row>
    <row r="18" spans="1:2" ht="30" x14ac:dyDescent="0.25">
      <c r="A18" s="20" t="s">
        <v>71</v>
      </c>
      <c r="B18" s="20" t="s">
        <v>258</v>
      </c>
    </row>
    <row r="19" spans="1:2" ht="30" x14ac:dyDescent="0.25">
      <c r="A19" s="20" t="s">
        <v>11</v>
      </c>
      <c r="B19" s="20" t="s">
        <v>259</v>
      </c>
    </row>
    <row r="20" spans="1:2" ht="30" x14ac:dyDescent="0.25">
      <c r="A20" s="20" t="s">
        <v>70</v>
      </c>
      <c r="B20" s="20" t="s">
        <v>260</v>
      </c>
    </row>
    <row r="21" spans="1:2" x14ac:dyDescent="0.25">
      <c r="A21" s="20" t="s">
        <v>107</v>
      </c>
      <c r="B21" s="20" t="s">
        <v>261</v>
      </c>
    </row>
    <row r="22" spans="1:2" x14ac:dyDescent="0.25">
      <c r="A22" s="20" t="s">
        <v>262</v>
      </c>
      <c r="B22" s="20" t="s">
        <v>263</v>
      </c>
    </row>
  </sheetData>
  <pageMargins left="0.7" right="0.7" top="0.75" bottom="0.75" header="0.3" footer="0.3"/>
  <headerFooter>
    <oddFooter>&amp;C_x000D_&amp;1#&amp;"Aptos"&amp;8&amp;K000000 Nokia internal use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213F0-5B65-4D3B-9535-4DE25C5383C0}">
  <dimension ref="A1:H9"/>
  <sheetViews>
    <sheetView workbookViewId="0">
      <selection activeCell="A3" sqref="A3:E4"/>
    </sheetView>
  </sheetViews>
  <sheetFormatPr defaultRowHeight="15" x14ac:dyDescent="0.25"/>
  <cols>
    <col min="1" max="1" width="11.42578125" customWidth="1"/>
    <col min="2" max="2" width="22.85546875" customWidth="1"/>
    <col min="3" max="6" width="13.28515625" customWidth="1"/>
    <col min="8" max="8" width="24.7109375" customWidth="1"/>
  </cols>
  <sheetData>
    <row r="1" spans="1:8" ht="17.25" x14ac:dyDescent="0.3">
      <c r="A1" s="23" t="s">
        <v>284</v>
      </c>
    </row>
    <row r="3" spans="1:8" x14ac:dyDescent="0.25">
      <c r="A3" s="24" t="s">
        <v>285</v>
      </c>
      <c r="B3" s="26" t="s">
        <v>286</v>
      </c>
      <c r="C3" s="26" t="s">
        <v>1</v>
      </c>
      <c r="D3" s="26" t="s">
        <v>2</v>
      </c>
      <c r="E3" s="26" t="s">
        <v>3</v>
      </c>
      <c r="F3" s="26" t="s">
        <v>182</v>
      </c>
      <c r="H3" s="24" t="s">
        <v>289</v>
      </c>
    </row>
    <row r="4" spans="1:8" x14ac:dyDescent="0.25">
      <c r="A4" t="s">
        <v>13</v>
      </c>
      <c r="B4" s="27" cm="1">
        <f t="array" ref="B4">_xlfn.LET(_xlpm.site,accords!$B$2:$B$1000,_xlpm.inc,ISNA(MATCH(accords!$C$2:$C$1000,$H$4:$H$20,0))*(_xlpm.site&lt;&gt;""),SUM(IF($A4="Total",_xlpm.inc,_xlpm.inc*(_xlpm.site=$A4))))</f>
        <v>24</v>
      </c>
      <c r="C4" s="28" cm="1">
        <f t="array" ref="C4">_xlfn.LET(_xlpm.site,accords!$B$2:$B$1000,_xlpm.os,accords!H$2:H$1000,_xlpm.inc,ISNA(MATCH(accords!$C$2:$C$1000,$H$4:$H$20,0))*(_xlpm.site&lt;&gt;""),_xlpm.sel,IF($A4="Total",_xlpm.inc,_xlpm.inc*(_xlpm.site=$A4)),_xlpm.n,SUM(_xlpm.sel*(_xlpm.os&lt;&gt;"-")),IF(_xlpm.n=0,"-",SUM(_xlpm.sel*(_xlpm.os=TRUE))/_xlpm.n))</f>
        <v>0.54166666666666663</v>
      </c>
      <c r="D4" s="28" cm="1">
        <f t="array" ref="D4">_xlfn.LET(_xlpm.site,accords!$B$2:$B$1000,_xlpm.os,accords!I$2:I$1000,_xlpm.inc,ISNA(MATCH(accords!$C$2:$C$1000,$H$4:$H$20,0))*(_xlpm.site&lt;&gt;""),_xlpm.sel,IF($A4="Total",_xlpm.inc,_xlpm.inc*(_xlpm.site=$A4)),_xlpm.n,SUM(_xlpm.sel*(_xlpm.os&lt;&gt;"-")),IF(_xlpm.n=0,"-",SUM(_xlpm.sel*(_xlpm.os=TRUE))/_xlpm.n))</f>
        <v>0.91666666666666663</v>
      </c>
      <c r="E4" s="28" cm="1">
        <f t="array" ref="E4">_xlfn.LET(_xlpm.site,accords!$B$2:$B$1000,_xlpm.os,accords!J$2:J$1000,_xlpm.inc,ISNA(MATCH(accords!$C$2:$C$1000,$H$4:$H$20,0))*(_xlpm.site&lt;&gt;""),_xlpm.sel,IF($A4="Total",_xlpm.inc,_xlpm.inc*(_xlpm.site=$A4)),_xlpm.n,SUM(_xlpm.sel*(_xlpm.os&lt;&gt;"-")),IF(_xlpm.n=0,"-",SUM(_xlpm.sel*(_xlpm.os=TRUE))/_xlpm.n))</f>
        <v>0.83333333333333337</v>
      </c>
      <c r="F4" s="28" t="str" cm="1">
        <f t="array" ref="F4">_xlfn.LET(_xlpm.site,accords!$B$2:$B$1000,_xlpm.os,accords!K$2:K$1000,_xlpm.inc,ISNA(MATCH(accords!$C$2:$C$1000,$H$4:$H$20,0))*(_xlpm.site&lt;&gt;""),_xlpm.sel,IF($A4="Total",_xlpm.inc,_xlpm.inc*(_xlpm.site=$A4)),_xlpm.n,SUM(_xlpm.sel*(_xlpm.os&lt;&gt;"-")),IF(_xlpm.n=0,"-",SUM(_xlpm.sel*(_xlpm.os=TRUE))/_xlpm.n))</f>
        <v>-</v>
      </c>
      <c r="H4" t="s">
        <v>202</v>
      </c>
    </row>
    <row r="5" spans="1:8" x14ac:dyDescent="0.25">
      <c r="A5" t="s">
        <v>14</v>
      </c>
      <c r="B5" s="27" cm="1">
        <f t="array" ref="B5">_xlfn.LET(_xlpm.site,accords!$B$2:$B$1000,_xlpm.inc,ISNA(MATCH(accords!$C$2:$C$1000,$H$4:$H$20,0))*(_xlpm.site&lt;&gt;""),SUM(IF($A5="Total",_xlpm.inc,_xlpm.inc*(_xlpm.site=$A5))))</f>
        <v>8</v>
      </c>
      <c r="C5" s="28" cm="1">
        <f t="array" ref="C5">_xlfn.LET(_xlpm.site,accords!$B$2:$B$1000,_xlpm.os,accords!H$2:H$1000,_xlpm.inc,ISNA(MATCH(accords!$C$2:$C$1000,$H$4:$H$20,0))*(_xlpm.site&lt;&gt;""),_xlpm.sel,IF($A5="Total",_xlpm.inc,_xlpm.inc*(_xlpm.site=$A5)),_xlpm.n,SUM(_xlpm.sel*(_xlpm.os&lt;&gt;"-")),IF(_xlpm.n=0,"-",SUM(_xlpm.sel*(_xlpm.os=TRUE))/_xlpm.n))</f>
        <v>1</v>
      </c>
      <c r="D5" s="28" cm="1">
        <f t="array" ref="D5">_xlfn.LET(_xlpm.site,accords!$B$2:$B$1000,_xlpm.os,accords!I$2:I$1000,_xlpm.inc,ISNA(MATCH(accords!$C$2:$C$1000,$H$4:$H$20,0))*(_xlpm.site&lt;&gt;""),_xlpm.sel,IF($A5="Total",_xlpm.inc,_xlpm.inc*(_xlpm.site=$A5)),_xlpm.n,SUM(_xlpm.sel*(_xlpm.os&lt;&gt;"-")),IF(_xlpm.n=0,"-",SUM(_xlpm.sel*(_xlpm.os=TRUE))/_xlpm.n))</f>
        <v>1</v>
      </c>
      <c r="E5" s="28" cm="1">
        <f t="array" ref="E5">_xlfn.LET(_xlpm.site,accords!$B$2:$B$1000,_xlpm.os,accords!J$2:J$1000,_xlpm.inc,ISNA(MATCH(accords!$C$2:$C$1000,$H$4:$H$20,0))*(_xlpm.site&lt;&gt;""),_xlpm.sel,IF($A5="Total",_xlpm.inc,_xlpm.inc*(_xlpm.site=$A5)),_xlpm.n,SUM(_xlpm.sel*(_xlpm.os&lt;&gt;"-")),IF(_xlpm.n=0,"-",SUM(_xlpm.sel*(_xlpm.os=TRUE))/_xlpm.n))</f>
        <v>1</v>
      </c>
      <c r="F5" s="28" cm="1">
        <f t="array" ref="F5">_xlfn.LET(_xlpm.site,accords!$B$2:$B$1000,_xlpm.os,accords!K$2:K$1000,_xlpm.inc,ISNA(MATCH(accords!$C$2:$C$1000,$H$4:$H$20,0))*(_xlpm.site&lt;&gt;""),_xlpm.sel,IF($A5="Total",_xlpm.inc,_xlpm.inc*(_xlpm.site=$A5)),_xlpm.n,SUM(_xlpm.sel*(_xlpm.os&lt;&gt;"-")),IF(_xlpm.n=0,"-",SUM(_xlpm.sel*(_xlpm.os=TRUE))/_xlpm.n))</f>
        <v>1</v>
      </c>
      <c r="H5" t="s">
        <v>204</v>
      </c>
    </row>
    <row r="6" spans="1:8" x14ac:dyDescent="0.25">
      <c r="A6" t="s">
        <v>150</v>
      </c>
      <c r="B6" s="27" cm="1">
        <f t="array" ref="B6">_xlfn.LET(_xlpm.site,accords!$B$2:$B$1000,_xlpm.inc,ISNA(MATCH(accords!$C$2:$C$1000,$H$4:$H$20,0))*(_xlpm.site&lt;&gt;""),SUM(IF($A6="Total",_xlpm.inc,_xlpm.inc*(_xlpm.site=$A6))))</f>
        <v>6</v>
      </c>
      <c r="C6" s="28" cm="1">
        <f t="array" ref="C6">_xlfn.LET(_xlpm.site,accords!$B$2:$B$1000,_xlpm.os,accords!H$2:H$1000,_xlpm.inc,ISNA(MATCH(accords!$C$2:$C$1000,$H$4:$H$20,0))*(_xlpm.site&lt;&gt;""),_xlpm.sel,IF($A6="Total",_xlpm.inc,_xlpm.inc*(_xlpm.site=$A6)),_xlpm.n,SUM(_xlpm.sel*(_xlpm.os&lt;&gt;"-")),IF(_xlpm.n=0,"-",SUM(_xlpm.sel*(_xlpm.os=TRUE))/_xlpm.n))</f>
        <v>0.66666666666666663</v>
      </c>
      <c r="D6" s="28" cm="1">
        <f t="array" ref="D6">_xlfn.LET(_xlpm.site,accords!$B$2:$B$1000,_xlpm.os,accords!I$2:I$1000,_xlpm.inc,ISNA(MATCH(accords!$C$2:$C$1000,$H$4:$H$20,0))*(_xlpm.site&lt;&gt;""),_xlpm.sel,IF($A6="Total",_xlpm.inc,_xlpm.inc*(_xlpm.site=$A6)),_xlpm.n,SUM(_xlpm.sel*(_xlpm.os&lt;&gt;"-")),IF(_xlpm.n=0,"-",SUM(_xlpm.sel*(_xlpm.os=TRUE))/_xlpm.n))</f>
        <v>1</v>
      </c>
      <c r="E6" s="28" cm="1">
        <f t="array" ref="E6">_xlfn.LET(_xlpm.site,accords!$B$2:$B$1000,_xlpm.os,accords!J$2:J$1000,_xlpm.inc,ISNA(MATCH(accords!$C$2:$C$1000,$H$4:$H$20,0))*(_xlpm.site&lt;&gt;""),_xlpm.sel,IF($A6="Total",_xlpm.inc,_xlpm.inc*(_xlpm.site=$A6)),_xlpm.n,SUM(_xlpm.sel*(_xlpm.os&lt;&gt;"-")),IF(_xlpm.n=0,"-",SUM(_xlpm.sel*(_xlpm.os=TRUE))/_xlpm.n))</f>
        <v>0.66666666666666663</v>
      </c>
      <c r="F6" s="28" t="str" cm="1">
        <f t="array" ref="F6">_xlfn.LET(_xlpm.site,accords!$B$2:$B$1000,_xlpm.os,accords!K$2:K$1000,_xlpm.inc,ISNA(MATCH(accords!$C$2:$C$1000,$H$4:$H$20,0))*(_xlpm.site&lt;&gt;""),_xlpm.sel,IF($A6="Total",_xlpm.inc,_xlpm.inc*(_xlpm.site=$A6)),_xlpm.n,SUM(_xlpm.sel*(_xlpm.os&lt;&gt;"-")),IF(_xlpm.n=0,"-",SUM(_xlpm.sel*(_xlpm.os=TRUE))/_xlpm.n))</f>
        <v>-</v>
      </c>
    </row>
    <row r="7" spans="1:8" x14ac:dyDescent="0.25">
      <c r="A7" s="25" t="s">
        <v>287</v>
      </c>
      <c r="B7" s="29" cm="1">
        <f t="array" ref="B7">_xlfn.LET(_xlpm.site,accords!$B$2:$B$1000,_xlpm.inc,ISNA(MATCH(accords!$C$2:$C$1000,$H$4:$H$20,0))*(_xlpm.site&lt;&gt;""),SUM(IF($A7="Total",_xlpm.inc,_xlpm.inc*(_xlpm.site=$A7))))</f>
        <v>38</v>
      </c>
      <c r="C7" s="30" cm="1">
        <f t="array" ref="C7">_xlfn.LET(_xlpm.site,accords!$B$2:$B$1000,_xlpm.os,accords!H$2:H$1000,_xlpm.inc,ISNA(MATCH(accords!$C$2:$C$1000,$H$4:$H$20,0))*(_xlpm.site&lt;&gt;""),_xlpm.sel,IF($A7="Total",_xlpm.inc,_xlpm.inc*(_xlpm.site=$A7)),_xlpm.n,SUM(_xlpm.sel*(_xlpm.os&lt;&gt;"-")),IF(_xlpm.n=0,"-",SUM(_xlpm.sel*(_xlpm.os=TRUE))/_xlpm.n))</f>
        <v>0.65789473684210531</v>
      </c>
      <c r="D7" s="30" cm="1">
        <f t="array" ref="D7">_xlfn.LET(_xlpm.site,accords!$B$2:$B$1000,_xlpm.os,accords!I$2:I$1000,_xlpm.inc,ISNA(MATCH(accords!$C$2:$C$1000,$H$4:$H$20,0))*(_xlpm.site&lt;&gt;""),_xlpm.sel,IF($A7="Total",_xlpm.inc,_xlpm.inc*(_xlpm.site=$A7)),_xlpm.n,SUM(_xlpm.sel*(_xlpm.os&lt;&gt;"-")),IF(_xlpm.n=0,"-",SUM(_xlpm.sel*(_xlpm.os=TRUE))/_xlpm.n))</f>
        <v>0.94736842105263153</v>
      </c>
      <c r="E7" s="30" cm="1">
        <f t="array" ref="E7">_xlfn.LET(_xlpm.site,accords!$B$2:$B$1000,_xlpm.os,accords!J$2:J$1000,_xlpm.inc,ISNA(MATCH(accords!$C$2:$C$1000,$H$4:$H$20,0))*(_xlpm.site&lt;&gt;""),_xlpm.sel,IF($A7="Total",_xlpm.inc,_xlpm.inc*(_xlpm.site=$A7)),_xlpm.n,SUM(_xlpm.sel*(_xlpm.os&lt;&gt;"-")),IF(_xlpm.n=0,"-",SUM(_xlpm.sel*(_xlpm.os=TRUE))/_xlpm.n))</f>
        <v>0.84210526315789469</v>
      </c>
      <c r="F7" s="30" cm="1">
        <f t="array" ref="F7">_xlfn.LET(_xlpm.site,accords!$B$2:$B$1000,_xlpm.os,accords!K$2:K$1000,_xlpm.inc,ISNA(MATCH(accords!$C$2:$C$1000,$H$4:$H$20,0))*(_xlpm.site&lt;&gt;""),_xlpm.sel,IF($A7="Total",_xlpm.inc,_xlpm.inc*(_xlpm.site=$A7)),_xlpm.n,SUM(_xlpm.sel*(_xlpm.os&lt;&gt;"-")),IF(_xlpm.n=0,"-",SUM(_xlpm.sel*(_xlpm.os=TRUE))/_xlpm.n))</f>
        <v>1</v>
      </c>
    </row>
    <row r="9" spans="1:8" x14ac:dyDescent="0.25">
      <c r="A9" s="31" t="s">
        <v>290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34c87397-5fc1-491e-85e7-d6110dbe9cbd" ContentTypeId="0x0101" PreviousValue="false"/>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Props1.xml><?xml version="1.0" encoding="utf-8"?>
<ds:datastoreItem xmlns:ds="http://schemas.openxmlformats.org/officeDocument/2006/customXml" ds:itemID="{15AD6385-0C64-4344-9EFB-A995A9D73E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3.xml><?xml version="1.0" encoding="utf-8"?>
<ds:datastoreItem xmlns:ds="http://schemas.openxmlformats.org/officeDocument/2006/customXml" ds:itemID="{4FEF070B-3FE9-48F0-B828-11286F698DFA}">
  <ds:schemaRefs>
    <ds:schemaRef ds:uri="http://schemas.microsoft.com/sharepoint/events"/>
  </ds:schemaRefs>
</ds:datastoreItem>
</file>

<file path=customXml/itemProps4.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5.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accords</vt:lpstr>
      <vt:lpstr>rules</vt:lpstr>
      <vt:lpstr>taux signatures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2026-10-07T15:41:34Z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