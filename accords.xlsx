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nokia.sharepoint.com/sites/CGT39/Shared Documents/salariés/accords négociés/"/>
    </mc:Choice>
  </mc:AlternateContent>
  <xr:revisionPtr revIDLastSave="2548" documentId="11_F25DC773A252ABDACC1048A741DB65945BDE58FA" xr6:coauthVersionLast="47" xr6:coauthVersionMax="47" xr10:uidLastSave="{DAAB38F6-12CA-4BA0-8EE1-6D90B4F40EBD}"/>
  <bookViews>
    <workbookView xWindow="-120" yWindow="-120" windowWidth="38640" windowHeight="21120" xr2:uid="{00000000-000D-0000-FFFF-FFFF00000000}"/>
  </bookViews>
  <sheets>
    <sheet name="accords" sheetId="1" r:id="rId1"/>
    <sheet name="rules" sheetId="2" r:id="rId2"/>
  </sheets>
  <definedNames>
    <definedName name="_xlnm._FilterDatabase" localSheetId="0" hidden="1">accords!$A$1:$S$30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5" i="1" l="1"/>
  <c r="F16" i="1"/>
  <c r="G3" i="1"/>
  <c r="G7" i="1"/>
  <c r="G15" i="1"/>
  <c r="G20" i="1"/>
  <c r="G21" i="1"/>
  <c r="G29" i="1"/>
  <c r="G31" i="1"/>
  <c r="G32" i="1"/>
  <c r="G34" i="1"/>
  <c r="G39" i="1"/>
  <c r="K41" i="1"/>
  <c r="G41" i="1" s="1"/>
  <c r="K40" i="1"/>
  <c r="G40" i="1" s="1"/>
  <c r="K39" i="1"/>
  <c r="K38" i="1"/>
  <c r="G38" i="1" s="1"/>
  <c r="K37" i="1"/>
  <c r="G37" i="1" s="1"/>
  <c r="K36" i="1"/>
  <c r="K35" i="1"/>
  <c r="G35" i="1" s="1"/>
  <c r="K34" i="1"/>
  <c r="K33" i="1"/>
  <c r="G33" i="1" s="1"/>
  <c r="K32" i="1"/>
  <c r="K31" i="1"/>
  <c r="K30" i="1"/>
  <c r="G30" i="1" s="1"/>
  <c r="K29" i="1"/>
  <c r="K28" i="1"/>
  <c r="G28" i="1" s="1"/>
  <c r="K27" i="1"/>
  <c r="K26" i="1"/>
  <c r="G26" i="1" s="1"/>
  <c r="K24" i="1"/>
  <c r="G24" i="1" s="1"/>
  <c r="K23" i="1"/>
  <c r="G23" i="1" s="1"/>
  <c r="K22" i="1"/>
  <c r="G22" i="1" s="1"/>
  <c r="K21" i="1"/>
  <c r="K20" i="1"/>
  <c r="K19" i="1"/>
  <c r="K18" i="1"/>
  <c r="G18" i="1" s="1"/>
  <c r="K17" i="1"/>
  <c r="G17" i="1" s="1"/>
  <c r="K15" i="1"/>
  <c r="K14" i="1"/>
  <c r="K13" i="1"/>
  <c r="G13" i="1" s="1"/>
  <c r="K12" i="1"/>
  <c r="G12" i="1" s="1"/>
  <c r="K11" i="1"/>
  <c r="G11" i="1" s="1"/>
  <c r="K10" i="1"/>
  <c r="G10" i="1" s="1"/>
  <c r="K9" i="1"/>
  <c r="G9" i="1" s="1"/>
  <c r="K8" i="1"/>
  <c r="G8" i="1" s="1"/>
  <c r="K7" i="1"/>
  <c r="K6" i="1"/>
  <c r="G6" i="1" s="1"/>
  <c r="K5" i="1"/>
  <c r="G5" i="1" s="1"/>
  <c r="K4" i="1"/>
  <c r="G4" i="1" s="1"/>
  <c r="K3" i="1"/>
  <c r="K2" i="1"/>
  <c r="G2" i="1" s="1"/>
  <c r="E23" i="1" a="1"/>
  <c r="E23" i="1" s="1"/>
  <c r="F3" i="1"/>
  <c r="F4" i="1"/>
  <c r="F20" i="1"/>
  <c r="F21" i="1"/>
  <c r="F17" i="1"/>
  <c r="F7" i="1"/>
  <c r="F29" i="1"/>
  <c r="F31" i="1"/>
  <c r="F40" i="1"/>
  <c r="F39" i="1"/>
  <c r="E3" i="1" a="1"/>
  <c r="E3" i="1" s="1"/>
  <c r="E4" i="1" a="1"/>
  <c r="E4" i="1" s="1"/>
  <c r="E20" i="1" a="1"/>
  <c r="E20" i="1" s="1"/>
  <c r="E21" i="1" a="1"/>
  <c r="E21" i="1" s="1"/>
  <c r="E17" i="1" a="1"/>
  <c r="E17" i="1" s="1"/>
  <c r="E7" i="1" a="1"/>
  <c r="E7" i="1" s="1"/>
  <c r="E29" i="1" a="1"/>
  <c r="E29" i="1" s="1"/>
  <c r="E31" i="1" a="1"/>
  <c r="E31" i="1" s="1"/>
  <c r="E40" i="1" a="1"/>
  <c r="E40" i="1" s="1"/>
  <c r="E39" i="1" a="1"/>
  <c r="E39" i="1" s="1"/>
  <c r="S38" i="1" a="1"/>
  <c r="S38" i="1" s="1"/>
  <c r="S41" i="1" a="1"/>
  <c r="S41" i="1" s="1"/>
  <c r="S37" i="1" a="1"/>
  <c r="S37" i="1" s="1"/>
  <c r="S36" i="1" a="1"/>
  <c r="S36" i="1" s="1"/>
  <c r="S35" i="1" a="1"/>
  <c r="S35" i="1" s="1"/>
  <c r="S34" i="1" a="1"/>
  <c r="S34" i="1" s="1"/>
  <c r="S33" i="1" a="1"/>
  <c r="S33" i="1" s="1"/>
  <c r="S32" i="1" a="1"/>
  <c r="S32" i="1" s="1"/>
  <c r="S27" i="1" a="1"/>
  <c r="S27" i="1" s="1"/>
  <c r="S30" i="1" a="1"/>
  <c r="S30" i="1" s="1"/>
  <c r="S28" i="1" a="1"/>
  <c r="S28" i="1" s="1"/>
  <c r="S26" i="1" a="1"/>
  <c r="S26" i="1" s="1"/>
  <c r="S25" i="1" a="1"/>
  <c r="S25" i="1" s="1"/>
  <c r="S24" i="1" a="1"/>
  <c r="S24" i="1" s="1"/>
  <c r="S23" i="1" a="1"/>
  <c r="S23" i="1" s="1"/>
  <c r="S22" i="1" a="1"/>
  <c r="S22" i="1" s="1"/>
  <c r="S19" i="1" a="1"/>
  <c r="S19" i="1" s="1"/>
  <c r="S18" i="1" a="1"/>
  <c r="S18" i="1" s="1"/>
  <c r="S15" i="1" a="1"/>
  <c r="S15" i="1" s="1"/>
  <c r="S14" i="1" a="1"/>
  <c r="S14" i="1" s="1"/>
  <c r="S13" i="1" a="1"/>
  <c r="S13" i="1" s="1"/>
  <c r="S12" i="1" a="1"/>
  <c r="S12" i="1" s="1"/>
  <c r="S11" i="1" a="1"/>
  <c r="S11" i="1" s="1"/>
  <c r="S10" i="1" a="1"/>
  <c r="S10" i="1" s="1"/>
  <c r="S9" i="1" a="1"/>
  <c r="S9" i="1" s="1"/>
  <c r="S8" i="1" a="1"/>
  <c r="S8" i="1" s="1"/>
  <c r="S6" i="1" a="1"/>
  <c r="S6" i="1" s="1"/>
  <c r="S5" i="1" a="1"/>
  <c r="S5" i="1" s="1"/>
  <c r="S2" i="1" a="1"/>
  <c r="S2" i="1" s="1"/>
  <c r="E38" i="1" a="1"/>
  <c r="E38" i="1" s="1"/>
  <c r="E41" i="1" a="1"/>
  <c r="E41" i="1" s="1"/>
  <c r="E37" i="1" a="1"/>
  <c r="E37" i="1" s="1"/>
  <c r="E36" i="1" a="1"/>
  <c r="E36" i="1" s="1"/>
  <c r="E35" i="1" a="1"/>
  <c r="E35" i="1" s="1"/>
  <c r="E34" i="1" a="1"/>
  <c r="E34" i="1" s="1"/>
  <c r="E33" i="1" a="1"/>
  <c r="E33" i="1" s="1"/>
  <c r="E32" i="1" a="1"/>
  <c r="E32" i="1" s="1"/>
  <c r="E27" i="1" a="1"/>
  <c r="E27" i="1" s="1"/>
  <c r="E30" i="1" a="1"/>
  <c r="E30" i="1" s="1"/>
  <c r="E28" i="1" a="1"/>
  <c r="E28" i="1" s="1"/>
  <c r="E26" i="1" a="1"/>
  <c r="E26" i="1" s="1"/>
  <c r="E25" i="1" a="1"/>
  <c r="E25" i="1" s="1"/>
  <c r="E24" i="1" a="1"/>
  <c r="E24" i="1" s="1"/>
  <c r="E22" i="1" a="1"/>
  <c r="E22" i="1" s="1"/>
  <c r="E19" i="1" a="1"/>
  <c r="E19" i="1" s="1"/>
  <c r="E18" i="1" a="1"/>
  <c r="E18" i="1" s="1"/>
  <c r="E15" i="1" a="1"/>
  <c r="E15" i="1" s="1"/>
  <c r="E14" i="1" a="1"/>
  <c r="E14" i="1" s="1"/>
  <c r="E13" i="1" a="1"/>
  <c r="E13" i="1" s="1"/>
  <c r="E12" i="1" a="1"/>
  <c r="E12" i="1" s="1"/>
  <c r="E11" i="1" a="1"/>
  <c r="E11" i="1" s="1"/>
  <c r="E10" i="1" a="1"/>
  <c r="E10" i="1" s="1"/>
  <c r="E9" i="1" a="1"/>
  <c r="E9" i="1" s="1"/>
  <c r="E8" i="1" a="1"/>
  <c r="E8" i="1" s="1"/>
  <c r="E6" i="1" a="1"/>
  <c r="E6" i="1" s="1"/>
  <c r="E5" i="1" a="1"/>
  <c r="E5" i="1" s="1"/>
  <c r="E2" i="1" a="1"/>
  <c r="E2" i="1" s="1"/>
  <c r="F34" i="1"/>
  <c r="F8" i="1"/>
  <c r="F27" i="1"/>
  <c r="F30" i="1"/>
  <c r="F15" i="1"/>
  <c r="F4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<sst xmlns="http://schemas.openxmlformats.org/spreadsheetml/2006/main" count="436" uniqueCount="328">
  <si>
    <t>Accord ou négociation</t>
  </si>
  <si>
    <t>CGT</t>
  </si>
  <si>
    <t>CFDT</t>
  </si>
  <si>
    <t>CFE-CGC</t>
  </si>
  <si>
    <t>Égalité professionnelle</t>
  </si>
  <si>
    <t>RCC 2023</t>
  </si>
  <si>
    <t>Don de jours</t>
  </si>
  <si>
    <t>RCC 2024</t>
  </si>
  <si>
    <t>-</t>
  </si>
  <si>
    <t>année</t>
  </si>
  <si>
    <t>date VF</t>
  </si>
  <si>
    <t>Position CGT</t>
  </si>
  <si>
    <t>site</t>
  </si>
  <si>
    <t>NNF</t>
  </si>
  <si>
    <t>NPS</t>
  </si>
  <si>
    <t>Handicap</t>
  </si>
  <si>
    <t>Plan d'Epargne Retraite d'Entreprise Collectif (PERCOL)</t>
  </si>
  <si>
    <t>Plan d'Epargne Entreprise (PEE)</t>
  </si>
  <si>
    <t>CET</t>
  </si>
  <si>
    <t>Intéressement 2025-2028</t>
  </si>
  <si>
    <t>Comité Groupe France (CGF)</t>
  </si>
  <si>
    <t>Substitution non-cadres</t>
  </si>
  <si>
    <t>Remboursement santé</t>
  </si>
  <si>
    <t>RCC 2026 n°2</t>
  </si>
  <si>
    <t>Source signatures</t>
  </si>
  <si>
    <t>https://nokia.sharepoint.com/sites/HRLibrary/Controlled%20Documents/HR%20Regions/Europe%20South/France/HR%20SOPs-Guidelines-Policy/Harmonized/Accords%20conventions%202025/Accord%20CET%20(24%20juillet%202025).pdf</t>
  </si>
  <si>
    <t>https://nokia.sharepoint.com/sites/HRLibrary/Controlled%20Documents/HR%20Regions/Europe%20South/France/HR%20SOPs-Guidelines-Policy/Harmonized/Accords%20conventions%202024/Accord%20cadre%20NPS%20nouvelle%20convention%20collective-%202024%20sign%C3%A9.pdf</t>
  </si>
  <si>
    <t>https://nokia.sharepoint.com/sites/HRLibrary/Controlled%20Documents/HR%20Regions/Europe%20South/France/HR%20SOPs-Guidelines-Policy/Harmonized/Accords%20conventions%202024/Accord%20am%C3%A9nagement%20temps%20travail%20NPS%202024.pdf</t>
  </si>
  <si>
    <t>https://nokia.sharepoint.com/sites/CGT39/Shared%20Documents/salari%C3%A9s/accords%20n%C3%A9goci%C3%A9s/copies/GEPP%20PV%20de%20d%C3%A9saccord%20mis%20%C3%A0%20signature.pdf</t>
  </si>
  <si>
    <t>https://nokia.sharepoint.com/sites/HRLibrary/Controlled%20Documents/HR%20Regions/Europe%20South/France/HR%20SOPs-Guidelines-Policy/Harmonized/Accords%20conventions%202023/Accord%20%C3%A9galit%C3%A9%20professionnelle.pdf</t>
  </si>
  <si>
    <t>https://nokia.sharepoint.com/sites/HRLibrary/Controlled%20Documents/HR%20Regions/Europe%20South/France/HR%20SOPs-Guidelines-Policy/Harmonized/Accords%20conventions%202023/Accord%20remboursement%20sant%C3%A9%20-%202023.pdf</t>
  </si>
  <si>
    <t>https://nokia.sharepoint.com/sites/HRLibrary/Controlled%20Documents/HR%20Regions/Europe%20South/France/Plan-de-transformation/RCC%202023/Accord%20RCC%202023.pdf</t>
  </si>
  <si>
    <t>https://nokia.sharepoint.com/sites/HRLibrary/Controlled%20Documents/HR%20Regions/Europe%20South/France/HR%20SOPs-Guidelines-Policy/Harmonized/Accords%20conventions%202023/Accord%20de%20substitution%20non%20cadres%20-%2030%20novembre%202023.pdf</t>
  </si>
  <si>
    <t>https://nokia.sharepoint.com/sites/HRLibrary/Controlled%20Documents/HR%20Regions/Europe%20South/France/Plan-de-transformation/RCC%202024/Accord%20RCC%202024%20(19%20avril%202024).pdf</t>
  </si>
  <si>
    <t>https://nokia.sharepoint.com/sites/HRLibrary/Controlled%20Documents/HR%20Regions/Europe%20South/France/HR%20SOPs-Guidelines-Policy/Harmonized/Accord%20CGF.pdf</t>
  </si>
  <si>
    <t>https://nokia.sharepoint.com/sites/HRLibrary/Controlled%20Documents/HR%20Regions/Europe%20South/France/Plan-de-transformation/RCC%202026/Accord_RCC_2026.pdf</t>
  </si>
  <si>
    <t>https://nokia.sharepoint.com/sites/HRLibrary/Controlled%20Documents/HR%20Regions/Europe%20South/France/HR%20SOPs-Guidelines-Policy/Harmonized/Accords%20conventions%202023/NAO%202023%20-%20PV%20d%C3%A9saccord.pdf</t>
  </si>
  <si>
    <t>https://nokia.sharepoint.com/sites/HRLibrary/Controlled%20Documents/HR%20Regions/Europe%20South/France/HR%20SOPs-Guidelines-Policy/Harmonized/Accords%20conventions%202024/Accord%20don%20de%20jours%2014%20novembre%202024.pdf</t>
  </si>
  <si>
    <t>https://nokia.sharepoint.com/sites/HRLibrary/Controlled%20Documents/HR%20Regions/Europe%20South/France/HR%20SOPs-Guidelines-Policy/Harmonized/Accords%20conventions%202024/Avenant%20Proc%C3%A8s-verbal%20de%20d%C3%A9saccord%20NAO%202024%20(9%20avril%202024).pdf</t>
  </si>
  <si>
    <t>https://nokia.sharepoint.com/sites/HRLibrary/Controlled%20Documents/HR%20Regions/Europe%20South/France/HR%20SOPs-Guidelines-Policy/Harmonized/Accords%20conventions%202025/Proc%C3%A8s%20verbal%20NAO%20(d%C3%A9saccord)%202025%20(27%20mars%202025).pdf</t>
  </si>
  <si>
    <t>https://nokia.sharepoint.com/sites/HRLibrary/Controlled%20Documents/HR%20Regions/Europe%20South/France/HR%20SOPs-Guidelines-Policy/Harmonized/Temps%20de%20travail/Accord%20Am%C3%A9nagement%20Temps%20Travail%20NPS%202026%20(19%20d%C3%A9cembre%202025).pdf</t>
  </si>
  <si>
    <t>https://nokia.sharepoint.com/sites/CGT39/Shared%20Documents/salari%C3%A9s/tracts%20diffus%C3%A9s/2026/2026_06_TRACT-RetourSondageRCC2026-2.pdf</t>
  </si>
  <si>
    <t>https://nokia.sharepoint.com/sites/CGT39/Shared%20Documents/salari%C3%A9s/tracts%20diffus%C3%A9s/2025/tract_pour_ceux_qui_restent.pdf</t>
  </si>
  <si>
    <t>https://nokia.sharepoint.com/sites/CGT39/Shared%20Documents/salari%C3%A9s/tracts%20diffus%C3%A9s/2025/tract_rcc_2026.pdf</t>
  </si>
  <si>
    <t>https://nokia.sharepoint.com/sites/CGT39/Shared%20Documents/salari%C3%A9s/tracts%20diffus%C3%A9s/2025/tract-salaires-2025.pdf</t>
  </si>
  <si>
    <t>https://nokia.sharepoint.com/sites/CGT39/Shared%20Documents/salari%C3%A9s/tracts%20diffus%C3%A9s/2025/tract-avenant-TL-v2.pdf</t>
  </si>
  <si>
    <t>https://nokia.sharepoint.com/sites/CGT39/Shared%20Documents/salari%C3%A9s/tracts%20diffus%C3%A9s/2024/tract_bilan_rcc24_v4.pdf</t>
  </si>
  <si>
    <t>https://nokia.sharepoint.com/sites/CGT39/Shared%20Documents/salari%C3%A9s/tracts%20diffus%C3%A9s/2023/ncc%20cotation%203.pdf</t>
  </si>
  <si>
    <t>https://nokia.sharepoint.com/sites/CGT39/Shared%20Documents/salari%C3%A9s/tracts%20diffus%C3%A9s/2023/Tract%20Volontariat%20RCC.pdf</t>
  </si>
  <si>
    <t>https://nokia.sharepoint.com/sites/CGT39/Shared%20Documents/salari%C3%A9s/tracts%20diffus%C3%A9s/2023/Tract%20br%C3%A8ves%20de%20printemps.pdf</t>
  </si>
  <si>
    <t>page signature</t>
  </si>
  <si>
    <t>RCC 2026 n°1</t>
  </si>
  <si>
    <t>Aménagement du temps de travail 2026</t>
  </si>
  <si>
    <t>Avenant RCC 2026 n°1</t>
  </si>
  <si>
    <t>NAO 2026</t>
  </si>
  <si>
    <t>Aménagement du temps de travail 2024</t>
  </si>
  <si>
    <t>Avenant télétravail</t>
  </si>
  <si>
    <t>Aménagement du temps de travail 2025</t>
  </si>
  <si>
    <t>Nouvelle convention collective</t>
  </si>
  <si>
    <t>Harmonisation du taux de bonus</t>
  </si>
  <si>
    <t>https://nokia.sharepoint.com/sites/HRLibrary/Controlled%20Documents/HR%20Regions/Europe%20South/France/Plan-de-transformation/RCC%202025/Avenant%20RCC%202025.pdf</t>
  </si>
  <si>
    <t>https://nokia.sharepoint.com/sites/CGT39/Shared%20Documents/salari%C3%A9s/accords%20n%C3%A9goci%C3%A9s/captures_signatures/rh_Accord_CGF_p10_signature.jpg</t>
  </si>
  <si>
    <t>https://nokia.sharepoint.com/sites/CGT39/Shared%20Documents/salari%C3%A9s/accords%20n%C3%A9goci%C3%A9s/captures_signatures/rh_Accord_amenagement_temps_travail_NPS_2024_p04_signature.jpg</t>
  </si>
  <si>
    <t>https://nokia.sharepoint.com/sites/CGT39/Shared%20Documents/salari%C3%A9s/accords%20n%C3%A9goci%C3%A9s/captures_signatures/rh_Accord_RCC_2026_p54_signature.jpg</t>
  </si>
  <si>
    <t>https://nokia.sharepoint.com/sites/CGT39/Shared%20Documents/salari%C3%A9s/accords%20n%C3%A9goci%C3%A9s/captures_signatures/rh_Avenant_no_1_a_l_Accord_CSE_du_21_septembre_2018_p10_signature.jpg</t>
  </si>
  <si>
    <t>https://nokia.sharepoint.com/sites/CGT39/Shared%20Documents/salari%C3%A9s/accords%20n%C3%A9goci%C3%A9s/captures_signatures/rh_NAO_2026_Proces_verbal_d_accord_24_janvier_2026_p07_signature.jpg</t>
  </si>
  <si>
    <t>https://nokia.sharepoint.com/sites/CGT39/Shared%20Documents/salari%C3%A9s/accords%20n%C3%A9goci%C3%A9s/captures_signatures/rh_Avenant_RCC_2025_p07_signature.jpg</t>
  </si>
  <si>
    <t>https://nokia.sharepoint.com/sites/CGT39/Shared%20Documents/salari%C3%A9s/accords%20n%C3%A9goci%C3%A9s/captures_signatures/rh_Accord_Amenagement_Temps_Travail_NPS_2026_19_decembre_2025_p03_signature.jpg</t>
  </si>
  <si>
    <t>https://nokia.sharepoint.com/sites/CGT39/Shared%20Documents/salari%C3%A9s/accords%20n%C3%A9goci%C3%A9s/captures_signatures/rh_Accord_collectif_portant_sur_une_Rupture_Conventionnelle_Collective_RCC__p52_signature.jpg</t>
  </si>
  <si>
    <t>https://nokia.sharepoint.com/sites/CGT39/Shared%20Documents/salari%C3%A9s/accords%20n%C3%A9goci%C3%A9s/captures_signatures/rh_Accord_d_entreprise_relatif_au_Plan_d_Epargne_Entreprise_au_sein_de_Noki_p17-18_signatures.jpg</t>
  </si>
  <si>
    <t>https://nokia.sharepoint.com/sites/CGT39/Shared%20Documents/salari%C3%A9s/accords%20n%C3%A9goci%C3%A9s/captures_signatures/rh_Accord_d_entreprise_relatif_au_Plan_d_Epargne_Retraite_d_Entreprise_Coll_p20-21_signatures.jpg</t>
  </si>
  <si>
    <t>https://nokia.sharepoint.com/sites/CGT39/Shared%20Documents/salari%C3%A9s/accords%20n%C3%A9goci%C3%A9s/captures_signatures/rh_Accord_CET_24_juillet_2025_p13-14_signatures.jpg</t>
  </si>
  <si>
    <t>https://nokia.sharepoint.com/sites/CGT39/Shared%20Documents/salari%C3%A9s/accords%20n%C3%A9goci%C3%A9s/captures_signatures/rh_Accord_d_interessement_2025_2028_p16_signature.jpg</t>
  </si>
  <si>
    <t>https://nokia.sharepoint.com/sites/CGT39/Shared%20Documents/salari%C3%A9s/accords%20n%C3%A9goci%C3%A9s/captures_signatures/rh_Avenant_accord_teletravail_avril_2022_p07_signature.jpg</t>
  </si>
  <si>
    <t>https://nokia.sharepoint.com/sites/CGT39/Shared%20Documents/salari%C3%A9s/accords%20n%C3%A9goci%C3%A9s/captures_signatures/rh_Accord_don_de_jours_14_novembre_2024_p11_signature.jpg</t>
  </si>
  <si>
    <t>https://nokia.sharepoint.com/sites/CGT39/Shared%20Documents/salari%C3%A9s/accords%20n%C3%A9goci%C3%A9s/captures_signatures/rh_Accord_RCC_2024_19_avril_2024_p47_signature.jpg</t>
  </si>
  <si>
    <t>https://nokia.sharepoint.com/sites/CGT39/Shared%20Documents/salari%C3%A9s/accords%20n%C3%A9goci%C3%A9s/captures_signatures/rh_Accord_cadre_NPS_nouvelle_convention_collective_2024_signe_p06_signature.jpg</t>
  </si>
  <si>
    <t>https://nokia.sharepoint.com/sites/CGT39/Shared%20Documents/salari%C3%A9s/accords%20n%C3%A9goci%C3%A9s/captures_signatures/rh_Accord_de_substitution_non_cadres_30_novembre_2023_p09_signature.jpg</t>
  </si>
  <si>
    <t>https://nokia.sharepoint.com/sites/CGT39/Shared%20Documents/salari%C3%A9s/accords%20n%C3%A9goci%C3%A9s/captures_signatures/rh_Accord_RCC_2023_p49_signature.jpg</t>
  </si>
  <si>
    <t>https://nokia.sharepoint.com/sites/CGT39/Shared%20Documents/salari%C3%A9s/accords%20n%C3%A9goci%C3%A9s/captures_signatures/rh_Accord_remboursement_sante_2023_p11_signature.jpg</t>
  </si>
  <si>
    <t>p.10 : signatures de la Direction, de la CFDT, de la CFE-CGC et de la CGT.</t>
  </si>
  <si>
    <t>p.7 : signatures de la Direction, de la CFDT, de la CFE-CGC et de la CGT.</t>
  </si>
  <si>
    <t>PV de désaccord valide unilatéralement ; aucun accord collectif n’a été signé.</t>
  </si>
  <si>
    <t>p.11 : signatures de la Direction, de la CFDT, de la CFE-CGC, de la CFTC et de la CGT.</t>
  </si>
  <si>
    <t>p.10 : signatures de la CFDT, de la CFE-CGC et de la CGT (signature électronique).</t>
  </si>
  <si>
    <t>p.47 : signatures de la Direction, de la CFDT, de la CFE-CGC, de la CGT et de la CFTC.</t>
  </si>
  <si>
    <t>p.9 : signatures de la Direction, de la CFDT, de la CFE-CGC et de la CGT.</t>
  </si>
  <si>
    <t>p.16 : signatures de la Direction, de la CFDT, de la CFE-CGC et de la CGT.</t>
  </si>
  <si>
    <t>https://nokia.sharepoint.com/sites/CGT39/Shared%20Documents/salari%C3%A9s/accords%20n%C3%A9goci%C3%A9s/captures_signatures/rh_Accord_egalite_professionnelle_p20_signature.jpg</t>
  </si>
  <si>
    <t>Aménagement du temps de travail 2023</t>
  </si>
  <si>
    <t>https://nokia.sharepoint.com/sites/CGT39/Shared%20Documents/salari%C3%A9s/accords%20n%C3%A9goci%C3%A9s/captures_signatures/rh_Accord_amenagement_temps_travail_NPS_2023_p04_signature.jpg</t>
  </si>
  <si>
    <t>Comité Groupe France (NNF, ASN, RFS).</t>
  </si>
  <si>
    <t>autre source (email, teams, sharepoint)</t>
  </si>
  <si>
    <t>Summary</t>
  </si>
  <si>
    <t>https://nokia.sharepoint.com/sites/HRLibrary/Controlled%20Documents/HR%20Regions/Europe%20South/France/HR%20SOPs-Guidelines-Policy/Harmonized/Accords%20conventions%202026/Accord%20d'entreprise%20relatif%20%C3%A0%20la%20situation%20de%20handicap%20NNF.pdf</t>
  </si>
  <si>
    <t>https://nokia.sharepoint.com/sites/HRLibrary/Controlled%20Documents/HR%20Regions/Europe%20South/France/Archive/SOP%20-%20Guidelines%20-%20HARMONIZED/Accord%202025%20NPS%20-%20am%C3%A9nagement%20temps%20de%20travail%20(20%20janvier%202025).pdf</t>
  </si>
  <si>
    <t>https://nokia.sharepoint.com/sites/HRLibrary/Controlled%20Documents/HR%20Regions/Europe%20South/France/HR%20SOPs-Guidelines-Policy/Harmonized/Accords%20conventions%202024/PV%20d%C3%A9saccord%20Partage%20de%20la%20valeur%20VS.pdf</t>
  </si>
  <si>
    <t>https://nokia.sharepoint.com/sites/HRLibrary/Controlled%20Documents/HR%20Regions/Europe%20South/France/Archive/Archives/Accords%20Nokia/Accord%20harmonisation%20taux%20variable%20cible%20salari%C3%A9s%20non%20sales%20du%2019%20d%C3%A9cembre%202023.pdf</t>
  </si>
  <si>
    <t>https://nokia.sharepoint.com/sites/CGT39/Shared%20Documents/salari%C3%A9s/tracts%20diffus%C3%A9s/2024/tract_retour_salaires_2024_v1.pdf</t>
  </si>
  <si>
    <t>https://nokia.sharepoint.com/sites/HRLibrary/Controlled%20Documents/HR%20Regions/Europe%20South/France/HR%20SOPs-Guidelines-Policy/Harmonized/Accords%20conventions%202026/Avenant%20n%C2%BA%201%20%C3%A0%20l'Accord%20CSE%20du%2021%20septembre%202018.pdf</t>
  </si>
  <si>
    <t>https://nokia.sharepoint.com/sites/HRLibrary/Controlled%20Documents/HR%20Regions/Europe%20South/France/HR%20SOPs-Guidelines-Policy/Harmonized/Accords%20conventions%202026/NAO_2026_Proc%C3%A8s_verbal_d_accord_24%20janvier_2026.pdf</t>
  </si>
  <si>
    <t>https://nokia.sharepoint.com/sites/HRLibrary/Controlled%20Documents/HR%20Regions/Europe%20South/France/Plan-de-transformation/RCC%202025/Accord%20collectif%20portant%20sur%20une%20Rupture%20Conventionnelle%20Collective%20(RCC)%20au%20sein%20de%20Nokia%20Networks%20France%20(compress%C3%A9).pdf</t>
  </si>
  <si>
    <t>https://nokia.sharepoint.com/sites/HRLibrary/Controlled%20Documents/HR%20Regions/Europe%20South/France/HR%20SOPs-Guidelines-Policy/Harmonized/Accords%20conventions%202025/Accord%20d'entreprise%20relatif%20au%20Plan%20d'Epargne%20Entreprise%20au%20sein%20de%20Nokia%20Networks%20France%20(16%20d%C3%A9cembre%202025).pdf</t>
  </si>
  <si>
    <t>https://nokia.sharepoint.com/sites/HRLibrary/Controlled%20Documents/HR%20Regions/Europe%20South/France/HR%20SOPs-Guidelines-Policy/Harmonized/Accords%20conventions%202025/Accord%20d'entreprise%20relatif%20au%20Plan%20d'Epargne%20Retraite%20d'Entreprise%20Collectif%20PERCOL%20(16%20d%C3%A9cembre%202025).pdf</t>
  </si>
  <si>
    <t>https://nokia.sharepoint.com/sites/HRLibrary/Controlled%20Documents/HR%20Regions/Europe%20South/France/HR%20SOPs-Guidelines-Policy/Harmonized/Accords%20conventions%202025/Accord%20d'int%C3%A9ressement%202025-2028.pdf</t>
  </si>
  <si>
    <t>https://nokia.sharepoint.com/sites/HRLibrary/Controlled%20Documents/HR%20Regions/Europe%20South/France/HR%20SOPs-Guidelines-Policy/Harmonized/Accords%20conventions%202025/Avenant%20accord%20t%C3%A9l%C3%A9travail%20avril%202022.pdf</t>
  </si>
  <si>
    <t>195 suppressions de postes. Volontariat ouvert à tous les salariés du 01/09 au 30/09/2026.</t>
  </si>
  <si>
    <t>Politique handicap NNF : rôles des acteurs (managers, santé au travail, service social, Mission handicap). Cotisations retraite prises en charge à 100 % en temps partiel choisi.</t>
  </si>
  <si>
    <t>Modifie l'article 2.5 « Réponse apportée au salarié » (départs volontaires), suite aux observations de l'inspection du travail.</t>
  </si>
  <si>
    <t>1 JRTT/JRS collectif le vendredi 15/05/2026 (pont de l'Ascension). Journée de solidarité le lundi de Pentecôte 25/05/2026.</t>
  </si>
  <si>
    <t>421 départs volontaires maximum. Candidatures jusqu'au 28/02/2026, départs d'avril à fin juin 2026. Congé de mobilité, congé de fin de carrière.</t>
  </si>
  <si>
    <t>PEE propre à NNF : sélection des fonds (ISR), abondement concentré sur l'actionnariat Nokia.</t>
  </si>
  <si>
    <t>PERCOL propre à NNF : gestion libre ou pilotée, abondement, transfert collectif des avoirs.</t>
  </si>
  <si>
    <t>Ouverture après 6 mois de présence. Monétisation 1 fois par an (juin), 10 jours max. 5e semaine non monétisable.</t>
  </si>
  <si>
    <t>Enveloppe max = 4 % de la masse salariale selon CA (50 %), brevets/publications (25 %), mobilité durable (25 %). Répartition 50 % présence, 50 % salaire.</t>
  </si>
  <si>
    <t>Aide à l'équipement de 300 € (note de frais, sous 6 mois). Indemnité de télétravail de 4 € à 4,40 €, sans indexation.</t>
  </si>
  <si>
    <t>Journée de solidarité le lundi de Pentecôte 09/06/2025 (7 h).</t>
  </si>
  <si>
    <t>Don de jours élargi aux aidants (enfant, conjoint, parent). Plafonds de 20 ou 10 jours ; commission paritaire pour les cas hors cadre.</t>
  </si>
  <si>
    <t>347 départs volontaires max. Congé de mobilité 1 à 24 mois (75 %), congé de fin de carrière (220 000 € max), indemnité complémentaire de 5 mois (min. 25 000 €), aide à la création 8 000 €.</t>
  </si>
  <si>
    <t>Mise en conformité avec la convention de la métallurgie : cadres → groupes F à I, non-cadres → groupes A à E.</t>
  </si>
  <si>
    <t>Bonus cible aligné au 01/01/2024 sur le taux Nokia du Job Grade : JG5-6 5 %, JG7 7,5 %, JG8 10 %, JG9 12,5 %, JG10 15 %, JG11 20 %, JG12 25 %, JG13 30 %.</t>
  </si>
  <si>
    <t>1 JRTT/JRS collectif le 10/05/2024 (pont de l'Ascension). Solidarité le 20/05/2024. 1 jour payé en plus (CTG). Sorties anticipées de 2 h les 24 et 31/12.</t>
  </si>
  <si>
    <t>Substitution pour les non-cadres (groupes A à E) liée à la convention de la métallurgie.</t>
  </si>
  <si>
    <t>173 départs volontaires max. Congé de mobilité, parcours retraite, aides formation/création/mobilité. Pas de licenciement contraint.</t>
  </si>
  <si>
    <t>Référent égalité, objectif d'embauches de femmes, 80 % des managers formés, revue de l'ASR.</t>
  </si>
  <si>
    <t>Mutuelle santé : canton La Boétie, Malakoff Humanis, piloté par une commission paritaire.</t>
  </si>
  <si>
    <t>2 JRTT/JRS collectifs (19/05 et 17/07/2023). Solidarité le 29/05/2023. 1 jour payé en plus (CTG).</t>
  </si>
  <si>
    <t>file name accord</t>
  </si>
  <si>
    <t>file name tract</t>
  </si>
  <si>
    <t>tract associé</t>
  </si>
  <si>
    <t>URL tract</t>
  </si>
  <si>
    <t>URL accord</t>
  </si>
  <si>
    <t>N-ième RCC, 2ème de 2026 – Retour sondage salariés</t>
  </si>
  <si>
    <t>Pour ceux qui restent – La CGT n'accompagne pas l'euthanasie des télécoms en France</t>
  </si>
  <si>
    <t>Happy Thanksgiving chez Nokia – L'industrie française dindon de la farce</t>
  </si>
  <si>
    <t>Salaires +0,68 % – Les négos ça ne marche pas, il faut se mobiliser</t>
  </si>
  <si>
    <t>Avenant Télétravail : signer pour 40 centimes ? Chronique d'une occasion manquée</t>
  </si>
  <si>
    <t>Bilan de la RCC 2024 – Nokia a (encore) montré son vrai visage</t>
  </si>
  <si>
    <t>Et toi alors, t'es coté combien ?</t>
  </si>
  <si>
    <t>NAO -&gt; RCC -&gt; REPEAT – L'urgence de la radicalité</t>
  </si>
  <si>
    <t>Volontariat RCC : des motifs de vigilance</t>
  </si>
  <si>
    <t>Brèves de printemps</t>
  </si>
  <si>
    <t>Protocole préélectoral 2026 Lannion</t>
  </si>
  <si>
    <t>Protocole préélectoral 2026</t>
  </si>
  <si>
    <t>Avenant ARTT Lannion</t>
  </si>
  <si>
    <t>Avenant horaire variable Lannion</t>
  </si>
  <si>
    <t>Avenant frais de santé</t>
  </si>
  <si>
    <t>Prorogation des mandats CSE-E Lannion</t>
  </si>
  <si>
    <t>Mise en place de l'accord-cadre nouvelle CCN Lannion</t>
  </si>
  <si>
    <t>Mise en place de l'accord-cadre nouvelle CCN</t>
  </si>
  <si>
    <t>Nombre de délégués syndicaux NPS</t>
  </si>
  <si>
    <t>Nombre de délégués syndicaux Lannion</t>
  </si>
  <si>
    <t>https://nokia.sharepoint.com/sites/HRLibrary/Controlled%20Documents/HR%20Regions/Europe%20South/France/HR%20SOPs-Guidelines-Policy/Harmonized/Accords%20conventions%202026/2026%20protocole%20accord%20pr%C3%A9%C3%A9ctoral%20LANNION%20sign%C3%A9.pdf</t>
  </si>
  <si>
    <t>https://nokia.sharepoint.com/sites/HRLibrary/Controlled%20Documents/HR%20Regions/Europe%20South/France/HR%20SOPs-Guidelines-Policy/Harmonized/Accords%20conventions%202026/2026%20protocole%20accord%20pr%C3%A9%C3%A9lectoral%20sign%C3%A9.pdf</t>
  </si>
  <si>
    <t>https://nokia.sharepoint.com/sites/HRLibrary/Controlled%20Documents/HR%20Regions/Europe%20South/France/HR%20SOPs-Guidelines-Policy/Harmonized/Accords%20conventions%202024/Accord%20Etablissement%20NNF%20Lannion%20Mise%20en%20place%20accord%20cadre%20nouvelle%20CCN%20du%207%20mars%202024.pdf</t>
  </si>
  <si>
    <t>https://nokia.sharepoint.com/sites/HRLibrary/Controlled%20Documents/HR%20Regions/Europe%20South/France/HR%20SOPs-Guidelines-Policy/Harmonized/Accords%20conventions%202024/Accord%20collectif%20mise%20en%20place%20CCN.pdf</t>
  </si>
  <si>
    <t>https://nokia.sharepoint.com/sites/HRLibrary/Controlled%20Documents/HR%20Regions/Europe%20South/France/HR%20SOPs-Guidelines-Policy/Harmonized/Accords%20conventions%202023/Accord%20augmentation%20nombre%20d%C3%A9l%C3%A9gu%C3%A9s%20syndicaux%20NPS%202023.pdf</t>
  </si>
  <si>
    <t>https://nokia.sharepoint.com/sites/HRLibrary/Controlled%20Documents/HR%20Regions/Europe%20South/France/HR%20SOPs-Guidelines-Policy/Harmonized/Accords%20conventions%202025/Avenant%20Accord%20ARTT%20Lannion%2020%2003%202025.pdf</t>
  </si>
  <si>
    <t>https://nokia.sharepoint.com/sites/HRLibrary/Controlled%20Documents/HR%20Regions/Europe%20South/France/HR%20SOPs-Guidelines-Policy/Harmonized/Accords%20conventions%202025/Avenant%20Accord%20Horaire%20Variable%20Lannion%2020%2003%202025.pdf</t>
  </si>
  <si>
    <t>https://nokia.sharepoint.com/sites/HRLibrary/Controlled%20Documents/HR%20Regions/Europe%20South/France/HR%20SOPs-Guidelines-Policy/Harmonized/Accords%20conventions%202025/Avenant%20frais%20de%20sant%C3%A9%20(9%20avril%202025).pdf</t>
  </si>
  <si>
    <t>https://nokia.sharepoint.com/sites/HRLibrary/Controlled%20Documents/HR%20Regions/Europe%20South/France/HR%20SOPs-Guidelines-Policy/Harmonized/Accords%20conventions%202026/Accord%20Etablissement%20Prorogation%20des%20Mandats%20CSE-E%20Lannion.pdf</t>
  </si>
  <si>
    <t>https://nokia.sharepoint.com/sites/HRLibrary/Controlled%20Documents/HR%20Regions/Europe%20South/France/HR%20SOPs-Guidelines-Policy/Harmonized/Accords%20conventions%202023/Accord%20nombre%20d%C3%A9l%C3%A9gu%C3%A9s%20syndicaux%20Lannion%2024%20janvier%202023.pdf</t>
  </si>
  <si>
    <t>Élections CSE-E Lannion par vote électronique : 1er tour du 23 au 25/11/2026, 2nd tour du 02 au 04/12/2026. Collège 2 : 1 titulaire + 1 suppléant ; collège 3 : 11 + 11. Délégation 26 h/mois.</t>
  </si>
  <si>
    <t>Élections CSE-E Paris-Saclay par vote électronique : 1er tour du 23 au 25/11/2026, 2nd tour en décembre 2026. Effectifs de référence au 31/05/2026 (≈ 2 150).</t>
  </si>
  <si>
    <t>3 JRTT/JRS supplémentaires en 2025, alignement sur Paris-Saclay (jusqu'à 3 jours fixés chaque année en NAO). Congés familiaux supprimés ; prime de crèche fermée aux nouveaux entrants au 01/01/2026.</t>
  </si>
  <si>
    <t>Plages variables 7h30–9h30, 11h30–14h, 16h–19h (15h–19h le vendredi) ; plages fixes 9h30–11h30 et 14h–16h. Pause déjeuner 45 min obligatoire, crédit/débit limité à ±8 h.</t>
  </si>
  <si>
    <t>Cotisations santé réparties 60 % employeur / 40 % salarié (T1, T2 et forfait), avec effet rétroactif au 01/01/2025.</t>
  </si>
  <si>
    <t>Mandats CSE-E Lannion prolongés du 17/11/2026 au 06/12/2026 pour aligner les élections sur celles de Paris-Saclay.</t>
  </si>
  <si>
    <t>Mise en conformité avec la CCN métallurgie au 01/01/2024 : cadres → groupes F à I, mensuels → A à E. Met à jour l'accord horaire variable de 2001 et l'accord Lannion de 2008.</t>
  </si>
  <si>
    <t>Transposition de la CCN métallurgie (en vigueur au 01/01/2024) : cadres → groupes F à I, non-cadres → A à E. Mise à jour des accords CET, harmonisation ALUI, GEPP, temps partiel choisi et horaires atypiques.</t>
  </si>
  <si>
    <t>+2 délégués syndicaux par organisation représentative, soit jusqu'à 5 DS au lieu de 3, pour le cycle électoral 2022–2026.</t>
  </si>
  <si>
    <t>+1 délégué syndical par organisation représentative, soit 2 DS. Rétroactif au 17/11/2022, durée indéterminée.</t>
  </si>
  <si>
    <t>LAN</t>
  </si>
  <si>
    <t>https://nokia.sharepoint.com/:b:/r/sites/HRLibrary/Controlled%20Documents/HR%20Regions/Europe%20South/France/HR%20SOPs-Guidelines-Policy/Harmonized/Accords%20conventions%202023/Accord%20am%C3%A9nagement%20temps%20travail%20NPS%202023.pdf</t>
  </si>
  <si>
    <t>https://nokia.sharepoint.com/sites/CGT39/Shared%20Documents/salari%C3%A9s/accords%20n%C3%A9goci%C3%A9s/captures_signatures/rh_Accord_d_entreprise_relatif_a_la_situation_de_handicap_NNF_p15-16_signatures.jpg</t>
  </si>
  <si>
    <t>https://nokia.sharepoint.com/sites/CGT39/Shared%20Documents/salari%C3%A9s/accords%20n%C3%A9goci%C3%A9s/captures_signatures/rh_Accord_2025_NPS_amenagement_temps_de_travail_20_janvier_2025_p04_signature.jpg</t>
  </si>
  <si>
    <t>https://nokia.sharepoint.com/sites/CGT39/Shared%20Documents/salari%C3%A9s/accords%20n%C3%A9goci%C3%A9s/captures_signatures/rh_2026_protocole_accord_preectoral_LANNION_signe_p11_signature.jpg</t>
  </si>
  <si>
    <t>https://nokia.sharepoint.com/sites/CGT39/Shared%20Documents/salari%C3%A9s/accords%20n%C3%A9goci%C3%A9s/captures_signatures/rh_2026_protocole_accord_preelectoral_signe_p11_signature.jpg</t>
  </si>
  <si>
    <t>https://nokia.sharepoint.com/sites/CGT39/Shared%20Documents/salari%C3%A9s/accords%20n%C3%A9goci%C3%A9s/captures_signatures/rh_Avenant_Accord_ARTT_Lannion_20_03_2025_p08_signature.jpg</t>
  </si>
  <si>
    <t>https://nokia.sharepoint.com/sites/CGT39/Shared%20Documents/salari%C3%A9s/accords%20n%C3%A9goci%C3%A9s/captures_signatures/rh_Avenant_Accord_Horaire_Variable_Lannion_20_03_2025_p07_signature.jpg</t>
  </si>
  <si>
    <t>https://nokia.sharepoint.com/sites/CGT39/Shared%20Documents/salari%C3%A9s/accords%20n%C3%A9goci%C3%A9s/captures_signatures/rh_Avenant_frais_de_sante_9_avril_2025_p05-06_signatures.jpg</t>
  </si>
  <si>
    <t>https://nokia.sharepoint.com/sites/CGT39/Shared%20Documents/salari%C3%A9s/accords%20n%C3%A9goci%C3%A9s/captures_signatures/rh_Accord_Etablissement_Prorogation_des_Mandats_CSE_E_Lannion_p05_signature.jpg</t>
  </si>
  <si>
    <t>https://nokia.sharepoint.com/sites/CGT39/Shared%20Documents/salari%C3%A9s/accords%20n%C3%A9goci%C3%A9s/captures_signatures/rh_Accord_Etablissement_NNF_Lannion_Mise_en_place_accord_cadre_nouvelle_CCN_p06_signature.jpg</t>
  </si>
  <si>
    <t>https://nokia.sharepoint.com/sites/CGT39/Shared%20Documents/salari%C3%A9s/accords%20n%C3%A9goci%C3%A9s/captures_signatures/rh_Accord_collectif_mise_en_place_CCN_p06_signature.jpg</t>
  </si>
  <si>
    <t>https://nokia.sharepoint.com/sites/CGT39/Shared%20Documents/salari%C3%A9s/accords%20n%C3%A9goci%C3%A9s/captures_signatures/rh_Accord_augmentation_nombre_delegues_syndicaux_NPS_2023_p05_signature.jpg</t>
  </si>
  <si>
    <t>https://nokia.sharepoint.com/sites/CGT39/Shared%20Documents/salari%C3%A9s/accords%20n%C3%A9goci%C3%A9s/captures_signatures/rh_Accord_nombre_delegues_syndicaux_Lannion_24_janvier_2023_p04_signature.jpg</t>
  </si>
  <si>
    <t>p.11 : signatures de la Direction, de la CFDT, de la CFE-CGC et de la CGT.</t>
  </si>
  <si>
    <t>https://nokia.sharepoint.com/sites/CGT39/Shared%20Documents/salari%C3%A9s/accords%20n%C3%A9goci%C3%A9s/captures_signatures/rh_Accord_harmonisation_taux_variable_cible_salaries_non_sales_du_19_decemb_p10_signature.jpg</t>
  </si>
  <si>
    <t>p.54 : signatures de la CFDT et de la CFE-CGC ; aucune signature de la CGT.</t>
  </si>
  <si>
    <t>p.15–16 : signatures de la Direction (p.15), de la CFDT, de la CFE-CGC et de la CGT (p.16).</t>
  </si>
  <si>
    <t>p.5 : signatures de la Direction, de la CFDT, de la CFE-CGC et de la CGT.</t>
  </si>
  <si>
    <t>p.7 : signatures de la CFDT et de la CFE-CGC ; aucune signature de la CGT.</t>
  </si>
  <si>
    <t>p.3 : signatures de la Direction, de la CFDT, de la CFE-CGC, de la CGT et de la CFTC.</t>
  </si>
  <si>
    <t>p.52 : signatures de la CFDT et de la CFE-CGC ; aucune signature de la CGT. Confirmé par l'avenant et la décision DREETS (76,51 %).</t>
  </si>
  <si>
    <t>p.17–18 : signatures de la Direction (p.17), de la CFDT et de la CFE-CGC (p.18) ; aucune signature de la CGT.</t>
  </si>
  <si>
    <t>p.20–21 : signatures de la Direction (p.20), de la CFDT et de la CFE-CGC (p.21) ; aucune signature de la CGT.</t>
  </si>
  <si>
    <t>p.13–14 : signatures de la Direction (p.13), de la CFDT et de la CFE-CGC (p.14) ; aucune signature de la CGT.</t>
  </si>
  <si>
    <t>p.5–6 : signatures de la Direction, de la CFDT, de la CFE-CGC et de la CGT.</t>
  </si>
  <si>
    <t>p.8 : signatures de la Direction et de la CFDT ; aucune signature de la CFE-CGC ni de la CGT.</t>
  </si>
  <si>
    <t>p.7 : signatures de la Direction et de la CFDT ; aucune signature de la CFE-CGC ni de la CGT.</t>
  </si>
  <si>
    <t>p.4 : signatures de la Direction, de la CFDT, de la CFE-CGC, de la CGT et de la CFTC.</t>
  </si>
  <si>
    <t>p.6 : signatures de la Direction, de la CFDT, de la CFE-CGC et de la CGT.</t>
  </si>
  <si>
    <t>p.6 : signatures de la CFDT, de la CFE-CGC, de la CGT et de la CFTC.</t>
  </si>
  <si>
    <t>p.4 : signatures de la CFDT, de la CFE-CGC, de la CGT et de la CFTC.</t>
  </si>
  <si>
    <t>p.49 : signatures de la Direction, de la CFDT et de la CGT ; aucune signature de la CFE-CGC.</t>
  </si>
  <si>
    <t>p.20 : signatures de la CFDT et de la CFE-CGC ; aucune signature de la CGT.</t>
  </si>
  <si>
    <t>p.4 : signatures de la Direction, de la CFDT, de la CFE-CGC et de la CGT.</t>
  </si>
  <si>
    <t>p.5 : signatures de la Direction, de la CFDT, de la CFE-CGC, de la CFTC et de la CGT.</t>
  </si>
  <si>
    <t>https://nokia.sharepoint.com/sites/CGT39/Shared%20Documents/salari%C3%A9s/accords%20n%C3%A9goci%C3%A9s/captures_signatures/cgt_GEPP_PV_de_desaccord_mis_a_signature_p12_signature.jpg</t>
  </si>
  <si>
    <t>https://nokia.sharepoint.com/sites/CGT39/Shared%20Documents/salari%C3%A9s/accords%20n%C3%A9goci%C3%A9s/captures_signatures/rh_Proces_verbal_NAO_desaccord_2025_27_mars_2025_p11_signature.jpg</t>
  </si>
  <si>
    <t>https://nokia.sharepoint.com/sites/CGT39/Shared%20Documents/salari%C3%A9s/accords%20n%C3%A9goci%C3%A9s/captures_signatures/rh_PV_desaccord_Partage_de_la_valeur_VS_p06_signature.jpg</t>
  </si>
  <si>
    <t>https://nokia.sharepoint.com/sites/CGT39/Shared%20Documents/salari%C3%A9s/accords%20n%C3%A9goci%C3%A9s/captures_signatures/rh_Avenant_Proces_verbal_de_desaccord_NAO_2024_9_avril_2024_p05_signature.jpg</t>
  </si>
  <si>
    <t>https://nokia.sharepoint.com/sites/CGT39/Shared%20Documents/salari%C3%A9s/accords%20n%C3%A9goci%C3%A9s/captures_signatures/rh_NAO_2023_PV_desaccord_p10_signature.jpg</t>
  </si>
  <si>
    <t>Abondement concentré sur les actions Nokia, rémunération « TTC », exonérations de cotisations ; préférence pour un 13e mois cotisé.</t>
  </si>
  <si>
    <t>Retraite par capitalisation contre la répartition, perte de cotisations sociales ; préférence pour un 13e mois cotisé.</t>
  </si>
  <si>
    <t>Soutien à l'élargissement, demande d'un seuil préservant les congés des aidants.</t>
  </si>
  <si>
    <t>Maintenir une instance d'examen des résultats des sociétés françaises du groupe.</t>
  </si>
  <si>
    <t>Confirmé par le bilan annuel.</t>
  </si>
  <si>
    <t>Mesures insuffisantes et trop individualisées. Demande intersyndicale des statistiques réelles d'application.</t>
  </si>
  <si>
    <t>Débat interne : le DSC voulait d'abord ne pas signer pour « faire front » avec les autres OS ; signature finalement décidée, le gain pour les salariés étant jugé « énorme ».</t>
  </si>
  <si>
    <t>Version présentée comme finale le 29/11/2023 ; AG CGT le 01/12/2023 avec vote consolidé NPS + Lannion.</t>
  </si>
  <si>
    <t>accord majoritaire</t>
  </si>
  <si>
    <t>CFTC</t>
  </si>
  <si>
    <t>Aucune solution pour les salariés aux compteurs d'heures positifs (remise à zéro = heures non payées, non cotisées).</t>
  </si>
  <si>
    <t>La CGT menace d'aller en justice ; la Direction propose ensuite un compromis acceptable pour ces salariés.</t>
  </si>
  <si>
    <t>Vote CGT commun NNF (accord-cadre nouvelle CCN) : 21 votants, 13 pour, 2 contre, 6 abstentions (dont Lannion : 8 pour, 0 contre, 2 abstentions). Tracts : « Et toi alors, t'es coté combien ? », « Mais pourquoi tant de (M)N ? », « MN : des couleuvres ou des spaghettis ».</t>
  </si>
  <si>
    <t>Vote CGT commun NNF (accord-cadre nouvelle CCN) : 21 votants, 13 pour, 2 contre, 6 abstentions (dont NPS : 5 pour, 2 contre, 4 abstentions). Tracts : « Et toi alors, t'es coté combien ? », « Mais pourquoi tant de (M)N ? », « MN : des couleuvres ou des spaghettis ».</t>
  </si>
  <si>
    <t>Vote CGT commun NNF (accord-cadre nouvelle CCN) : 21 votants, 13 pour, 2 contre, 6 abstentions (NPS 5/2/4, Lannion 8/0/2). Tracts : « Et toi alors, t'es coté combien ? », « Mais pourquoi tant de (M)N ? », « MN : des couleuvres ou des spaghettis ».</t>
  </si>
  <si>
    <t>Débat/vote en AG extra le 15/07/2026. Slogan du tract : « RCC 2026, c'est toujours non ».</t>
  </si>
  <si>
    <t>Vote en AG extraordinaire du 21/05/2026. La CFE-CGC signe après le vote de ses adhérents mais juge l'accord « nettement insuffisant » (« handiwashing ») ; sa signature plus celle d'une autre OS permet l'application de l'accord. Méthode jugée déloyale (bilatérales « en coulisses »), relations tendues.</t>
  </si>
  <si>
    <t>Débat/vote en AG extra fin juin 2025. Négociation précipitée : dernier round supprimé, pas de texte final avant le vote.</t>
  </si>
  <si>
    <t>Une seule réunion de négociation (31/05/2024). La CFE-CGC refuse d'abord de signer le PV (ses positions n'y sont pas reprises) ; la Direction ajoute ses revendications le 31/07/2024. La CGT maintient son refus de signer le PV. PV de désaccord à durée déterminée : nouvelle négociation possible après un an. Négociation jugée déloyale : la Direction voulait « cocher la case ».</t>
  </si>
  <si>
    <t>Modalités électorales (vote électronique, calendrier, collèges, nombre de sièges, répartition H/F) négociées en commun avec Paris-Saclay et jugées conformes.</t>
  </si>
  <si>
    <t>Modalités électorales (vote électronique, calendrier, collèges, nombre de sièges, répartition H/F, effectifs de référence) jugées conformes.</t>
  </si>
  <si>
    <t>Mêmes bases que l'accord précédent, qui a donné de bons niveaux d'intéressement ; part de la masse salariale dans la formule portée de 3 % à 4 %, en contrepartie de la signature AUXAD.</t>
  </si>
  <si>
    <t>Perte d'environ 4 % de pouvoir d'achat depuis 2021 ; enveloppe d'environ 2 % (0,68 % après inflation), trop d'individuel, pas de mesure générale.</t>
  </si>
  <si>
    <t>Pour : 1 jour de repos supplémentaire pour tous, aligné sur Paris-Saclay. Contre : prime de crèche (80 €/mois jusqu'aux 4 ans de l'enfant) fermée aux nouveaux entrants au 01/01/2026, congés familiaux supprimés ; risque de préparer un établissement unique NPS + Lannion.</t>
  </si>
  <si>
    <t>Augmentations bien inférieures à l'inflation, d'où une baisse des salaires réels ; pas de mesure générale ; NAO suivie d'une RCC (357 suppressions, dont 1/3 en R&amp;D).</t>
  </si>
  <si>
    <t>Contre : nouvelle classification, fiches emplois et cotation des postes ; fin de la reconnaissance des diplômes et de l'expérience, salaire lié au poste, perte possible du statut cadre. Pour : CCN imposée par la branche, l'accord-cadre en encadre la mise en place dans l'entreprise.</t>
  </si>
  <si>
    <t>Correction demandée par la CGT obtenue (« salaire fixe » au lieu de « salaire de base »).</t>
  </si>
  <si>
    <t>Pour : quelques actions (formation des managers, candidature féminine recherchée pour les postes de management). Contre : pas d'enveloppe budgétaire spécifique, aucune amélioration proposée par la CGT retenue.</t>
  </si>
  <si>
    <t>Accord sur le régime de remboursement des frais de santé, sans recul identifié.</t>
  </si>
  <si>
    <t>GEPP</t>
  </si>
  <si>
    <t>NAO 2025</t>
  </si>
  <si>
    <t>Partage de la valeur</t>
  </si>
  <si>
    <t>NAO 2024</t>
  </si>
  <si>
    <t>NAO 2023</t>
  </si>
  <si>
    <t>accord collectif relatif aux évolutions du régime AUXAD -VF.pdf</t>
  </si>
  <si>
    <t>https://nokia.sharepoint.com/sites/BDESENNF-CSE-C/Shared%20Documents/Forms/AllItems.aspx?id=%2Fsites%2FBDESENNF%2DCSE%2DC%2FShared%20Documents%2F05a%2E%20CSE%2DC%2FCSE%2DC%202025%2F03%2DCSE%2DC%20extraordinaire%209%20avril%202025%2Faccord%20collectif%20relatif%20aux%20%C3%A9volutions%20du%20r%C3%A9gime%20AUXAD%20%2DVF%2Epdf</t>
  </si>
  <si>
    <t>Évolutions du régime AUXAD</t>
  </si>
  <si>
    <t>Accord technique, aucun enjeu de fond défavorable.</t>
  </si>
  <si>
    <t>Avenant du 15/01/2026 ; nouvelle demande de validation à l'administration le 21/01/2026.</t>
  </si>
  <si>
    <t>Avenant de procédure sans contenu nouveau ; opposition maintenue à la RCC elle-même.</t>
  </si>
  <si>
    <t>Accord technique sans recul.</t>
  </si>
  <si>
    <t>CFDT : adhérents majoritairement pour. AG extra le 17/11/2025, débat/vote le 18/12/2025. Slogan : « le bon chiffre c'est zéro ».</t>
  </si>
  <si>
    <t>Vote AG extra 04/12/2025 : 0 pour / 17 contre / 4 abst. (21 votants).</t>
  </si>
  <si>
    <t>Vote AG extra 04/12/2025 : 0 pour / 15 contre / 6 abst. (21 votants).</t>
  </si>
  <si>
    <t>PV de désaccord signé par la DRH et les DSC CFDT, CFE-CGC et CGT (à vérifier). La CFDT et la CGT refusent de signer un accord sans plan d'embauche.</t>
  </si>
  <si>
    <t>Pour : prise en charge employeur portée à 60 % (contre 50 %), gain jugé très important pour les salariés ; contrepartie de l'accord AUXAD.</t>
  </si>
  <si>
    <t>Vote AG extra 24/03/2025 (24 votants dont 3 procurations).</t>
  </si>
  <si>
    <t>Réunions des 17/12/2024, 27/01, 03/03 et 12/03/2025 ; PV de désaccord du 27/03/2025 ; accord séparé signé par la seule CFDT (20/03/2025), non majoritaire. Action : blocage des calendriers (~600 salariés).</t>
  </si>
  <si>
    <t>Unité syndicale initiale contre ce « chantage », rompue par la CFDT (majoritaire).</t>
  </si>
  <si>
    <t>Vote AG extra 11-12/02/2025 : 14 pour / 14 contre / 2 abst. (NPS 8/7/1, Lannion 6/7/1) ; égalité = contre. Accord initial signé par la CFTC et la CFDT ; la CFTC n'étant plus représentative, la Direction avait besoin de la signature CFE-CGC ou CGT (« chantage affectif »). Rapport de force jugé suffisant pour obtenir plus.</t>
  </si>
  <si>
    <t>Pour : indemnité +10 % (4 € → 4,40 €), maintien de l'accord, aide à l'équipement de 300 € plus favorable que le dispositif corporate. Contre : pas d'indexation, aide non renouvelable, hausse financée par les sommes non utilisées.</t>
  </si>
  <si>
    <t>Compteur &gt; 900 jours (à vérifier).</t>
  </si>
  <si>
    <t>Pas d'accord. Enveloppe unilatérale relevée de 0,66 point à 1,81 % des TTC, uniquement en augmentations individuelles ; GPP et Unexplained Pay Gap maintenus. Primes de transport et IK voiture inchangées. Expire le 30/06/2025.</t>
  </si>
  <si>
    <t>Réunions des 06/12/2023, 25/01 et 08/02/2024, puis PV de désaccord ; réouverture le 02/04/2024 ; avenant au PV du 09/04/2024. Mobilisation intersyndicale CFDT / CFE-CGC / CGT en mars 2024 (source : tract, à vérifier). Actions : communiqué de presse, lettre à l'inspection du travail sur la loyauté des négociations, déconnexion à 16h / calendriers.</t>
  </si>
  <si>
    <t>Dénoncé en 2025 (sortie d'ASN, fermeture de RFS) (à vérifier).</t>
  </si>
  <si>
    <t>Version finale transmise le 03/07/2023, mise à la signature le 04/07/2023 à Massy.</t>
  </si>
  <si>
    <t>Pas d'accord. Mesures unilatérales au 01/07/2023 : augmentations individuelles 3,21 % des TTC pour les JG 6 et plus, 5 % pour les JG 5 et moins ; GPP et Unexplained Pay Gap maintenus. Primes de transport +5 % ; prime vélo portée à 500 €/an (60 €/mois) ; IK vélo +40 % à 0,35 €/km. Expire le 30/06/2024.</t>
  </si>
  <si>
    <t>Réunions des 24/03, 29/03 et 05/04/2023 ; PV de désaccord du 12/04/2023. Contestation des nombreux 0 % d'augmentation (source : tract, à vérifier).</t>
  </si>
  <si>
    <t>Vote dans les 2 syndicats (Lannion et IDF).</t>
  </si>
  <si>
    <t>Favorable : renforcement des moyens syndicaux (2 DS par OS à Lannion).</t>
  </si>
  <si>
    <t>Favorable : renforcement des moyens syndicaux (5 DS pour la CGT sur NPS).</t>
  </si>
  <si>
    <t>Règles de remplissage de la feuille accords</t>
  </si>
  <si>
    <t>Confirmation par courriel. Débat/vote des syndiqués avant le 26/01/2026 ; R1 le 19/01, réunion finale le 23/01/2026 ; accord fait à Massy le 27/01/2026. Négociation accélérée en 7 jours, peu de lecture des statistiques ; +0,30 point conditionné à la signature (« chantage à la signature ») ; mobilisation jugée difficile.</t>
  </si>
  <si>
    <t>Fin d'une injustice pour ~400 salariés sous le taux nominal de leur grade.</t>
  </si>
  <si>
    <t>Source : communication intersyndicale. Résultat obtenu par l'avocat du CSE-C (ce que la Direction proposait en échange d'une signature).</t>
  </si>
  <si>
    <t>https://nokia.sharepoint.com/sites/CGT39/Shared%20Documents/salari%C3%A9s/accords%20n%C3%A9goci%C3%A9s/captures_signatures/rh_accord_collectif_relatif_aux_evolutions_du_regime_AUXAD_VF_p06_signature.jpg</t>
  </si>
  <si>
    <t>Vote AG extra CGT du 27/03/2025 : « La CGT signe l'accord AUXAD et ses contreparties ». Réunions des 13/02 et 28/03/2025 ; courriel Direction du 31/03/2025 (mise à la signature au 09/04/2025) ; info-consultation CSE-C extraordinaire du 09/04/2025. Argumentaire AG CGT (mars 2025). Négociation au pas de course, quasi exclusivement en bilatérales DSC, opacité sur les sommes provisionnées.</t>
  </si>
  <si>
    <t>Colonne</t>
  </si>
  <si>
    <t>Règle</t>
  </si>
  <si>
    <t>Général</t>
  </si>
  <si>
    <t>Colonnes repérées par leur en-tête, jamais par leur lettre (l'ordre peut changer). Lignes triées par date décroissante.</t>
  </si>
  <si>
    <t>Pas de redondance entre colonnes : chaque info n'apparaît qu'à un seul endroit.</t>
  </si>
  <si>
    <t>Phrases courtes et factuelles, en français. Dates au format jj/mm/aaaa.</t>
  </si>
  <si>
    <t>Une valeur non confirmée = « À vérifier ». Une valeur sans objet = « - ».</t>
  </si>
  <si>
    <t>année, site</t>
  </si>
  <si>
    <t>Année de l'accord ; site = NNF, NPS ou LAN.</t>
  </si>
  <si>
    <t>Titre court, objet seul. Ajouter l'année quand l'objet se répète (NAO, RCC, aménagement du temps de travail).</t>
  </si>
  <si>
    <t>URL accord, file name accord</t>
  </si>
  <si>
    <t>Plusieurs documents : URLs séparées par des virgules, noms de fichier dans le même ordre. Le nom de fichier est le nom exact. Pas de %2F dans le chemin.</t>
  </si>
  <si>
    <t>Date finale lue dans le PDF (signature, validation ou page de garde), en vraie date au format jj/mm/aaaa. Vide = -. Date uniquement dans cette colonne.</t>
  </si>
  <si>
    <t>TRUE = accord ; FALSE = pas d'accord (PV de désaccord) ; À vérifier sinon.</t>
  </si>
  <si>
    <t>CGT, CFDT, CFE-CGC, CFTC</t>
  </si>
  <si>
    <t>TRUE = signature confirmée ; FALSE = non signataire ; À vérifier ; - = OS non concernée. Seul endroit où figure le statut signé / non signé.</t>
  </si>
  <si>
    <t>Pas d'accord (PV de désaccord) : aucune signature d'accord collectif.</t>
  </si>
  <si>
    <t>URL de la capture de la page de signature (dossier captures_signatures). Vide si pas de capture.</t>
  </si>
  <si>
    <t>Format unique : « p.X : signatures de la Direction, de la CFDT, de la CFE-CGC et de la CGT. » en nommant les organisations visibles et toute absence (« ; aucune signature de la CGT »).</t>
  </si>
  <si>
    <t>Pas de noms de personnes, pas de nom de fichier, pas de date, pas de vote AG, pas de courriel : aucune info parasite.</t>
  </si>
  <si>
    <t>Signaler une version non signée. PV de désaccord : « PV de désaccord valide unilatéralement ; aucun accord collectif n’a été signé. »</t>
  </si>
  <si>
    <t>Résumé court du fond uniquement (mesures, chiffres, dates d'effet, durée). Aucune info méta (réunions, votes, signatures, procédure, sources).</t>
  </si>
  <si>
    <t>Analyse de fond de la CGT uniquement (pour / contre, revendications). Pas de statut signé / non signé, pas de vote, pas de déroulé. Affichée après le résumé, préfixée « Position CGT : ».</t>
  </si>
  <si>
    <t>Toutes les infos méta : réunions, votes AG, déroulé et méthode de négociation, courriels, positions des autres OS, mentions à vérifier. Notes de travail, non reprises dans l'index.</t>
  </si>
  <si>
    <t>Titre du tract. Plusieurs tracts : un titre par ligne, dans l'ordre des URLs. - = pas de tract.</t>
  </si>
  <si>
    <t>URL tract, file name tract</t>
  </si>
  <si>
    <t>URL absolue et encodée. Le nom du fichier tract doit correspondre à la fin de l'URL tract.</t>
  </si>
  <si>
    <t>Cette RCC n'est que la phase 3 de la RCC 2026 n°1 : le constat d'un outil devenu récurrent était déjà posé, en toute logique c'est toujours non. Suppressions de postes sans embauche ni garantie d'emploi (garantie demandée jusqu'au 31/12/2027) ; volontariat élargi à tous les salariés, d'où une pression sur les non-volontaires ; OS exclues de la commission de validation ; ni stratégie industrielle ni pérennité des sites.</t>
  </si>
  <si>
    <t>Pour : gains concrets au-delà du minimum légal, surtout le temps partiel choisi (TPC) prolongeable au-delà de 5 ans avec retraite et prévoyance prises en charge à 100 % ; aide de 200 € et jours de congé dédiés ; CSSCT associée aux études de poste. Contre : pas de moyens dédiés aux référents, élus écartés du pilotage (commission paritaire supprimée).</t>
  </si>
  <si>
    <t>Avenant CSE Restauration</t>
  </si>
  <si>
    <t>PV de désaccord valide unilatéralement ; accord séparé signé par la seule CFDT, non majoritaire ; aucune signature de la CFE-CGC ni de la CGT.</t>
  </si>
  <si>
    <t>Pas d'accord majoritaire. Mesures unilatérales : budget d'augmentations individuelles de 2 % des TTC, sans augmentation générale ; GPP et Unexplained Pay Gap maintenus ; primes de transport revalorisées de 5 %.</t>
  </si>
  <si>
    <t>Trop c'est trop : la CGT a fait preuve de flexibilité et de pragmatisme en accompagnant les deux RCC précédentes (2023, 2024), un dispositif qui échange une signature contre la garantie du volontariat. La Direction semble désormais vouloir se faire un PSE en 4 fois, sans frais : ce sera sans nous. Jusqu'à 421 suppressions de postes non justifiées par la charge de travail ; ni garantie d'emploi ni embauche ; externalisations et perte de compétences ; pression au volontariat.</t>
  </si>
  <si>
    <t>Accord technique : il formalise une délégation de la restauration à la Direction déjà en place, sans enjeu de fond défavorable.</t>
  </si>
  <si>
    <t>Nokia n'a jamais eu l'intention d'aboutir à un accord : la négociation obligatoire a été menée pour la forme. Pas d'engagement d'embauche ni de remplacement des départs, garanties insuffisantes sur les activités en France.</t>
  </si>
  <si>
    <t>Choix pragmatique tranché assez facilement pour la première édition de ce dispositif, qui garantissait le volontariat en échange de la signature d'un accord majoritaire. Solide sur ses convictions, la CGT sait aussi faire preuve de pragmatisme quand le contexte le permet : volontariat, mesures individuelles correctes, éviter un PSE à moyen terme. Points d'alerte : pressions au volontariat, affaiblissement des équipes, absence de garanties sur les activités en France, lien RCC / absence d'augmentation.</t>
  </si>
  <si>
    <t>Deuxième RCC acceptée car la pyramide des âges et le contexte le permettaient encore (départs volontaires majoritairement en fin de carrière) ; mesures individuelles de départ jugées correctes, alternative à un PSE. Bilan a posteriori critique : délocalisations, perte de savoir-faire, charge de travail, RPS, externalisations.</t>
  </si>
  <si>
    <t>Après de longs débats internes, la CGT vote finalement la signature. Nouvelle réduction d'effectifs : 231 suppressions de postes en 2024 (non retrouvé dans le PDF, qui indique 347 maximum).</t>
  </si>
  <si>
    <t>Contre : la CGT se méfie quand la Direction propose d'« augmenter » les salariés avec leur propre argent (monétisation des congés, repos transformé en argent) ; 5e semaine exclue mais logique banalisée. Points positifs reconnus : souplesse pour les salariés, jour supplémentaire à Lannion.</t>
  </si>
  <si>
    <t>Pas d'augmentation générale. Augmentations individuelles de 2,15 % au 01/04/2026. Primes de transport, forfait vélo (500 €/an) et primes d'astreinte et de nuit revalorisées.</t>
  </si>
  <si>
    <t>Compromis assumé : loin de nos revendications, mais 2,15 % reste bon à prendre et les salariés en ont besoin. La CGT sait faire des compromis. Limites : aucune augmentation générale, individualisation.</t>
  </si>
  <si>
    <t>Négociation obligatoire tous les 3 ans, sans obligation d'aboutir. Pas d'accord : la Direction refuse tout plan d'embauche. Mesures unilatérales pour 3 ans : aides à la mobilité, priorité au recrutement interne, TPC seniors prolongeable avec retraite et prévoyance à 100 %.</t>
  </si>
  <si>
    <t>La retraite supplémentaire AUXAD (anciens hauts salaires Alcatel, environ 250 ayants droit) devient un accord collectif, avec une valeur du point figée sans revalorisation. Contreparties : mutuelle prise en charge à 60 % et intéressement porté à 4 % de la masse salariale.</t>
  </si>
  <si>
    <t>Signature négociée en échange de deux gains pour tous les salariés : frais de santé mieux pris en charge (60 %) et meilleur intéressement (4 %). Limites : aucune contrepartie salariale, gain sur l'intéressement limité à 4 ans.</t>
  </si>
  <si>
    <t>Négociation obligatoire, sans obligation d'aboutir. Pas d'accord : prime versée seulement si le bénéfice net fiscal dépasse 15 % du CA France.</t>
  </si>
  <si>
    <t>Comme pour la GEPP, négociation menée pour la forme : Nokia n'a jamais cherché d'accord. Seuil inatteignable vu le déficit de NNF, donc aucune prime en pratique. Revendication : du salaire fixe plutôt que des primes.</t>
  </si>
  <si>
    <t>Suite à la baisse des dépenses de restauration depuis le COVID (confinements, télétravail), qui a réduit la contribution ASC versée aux CSE-E, Nokia verse une indemnité transactionnelle de 145 000 € (protocole via le CSE-C, répartie au prorata des effectifs NPS/Lannion) pour solder les années antérieures à 2026. L'avenant sort la restauration des ASC et encadre la délégation à la Direction, qui assume tous les coûts et rend compte de la facturation et du budget à une commission restauration par CSE-E.</t>
  </si>
  <si>
    <t>La Direction (M. Cudot) refuse toute modification du texte et exige une réponse avant le 10/07/2026 12h. Signature électronique le 13/07/2026 (2e procédure, les pages n'ayant pas été paraphées au 1er essai). Avis favorable de toutes les OS sur le projet. Risque relevé en interne qu'un échange de mails remplace une vraie négociation. Estimations du manque à percevoir (réunion Direction/DSC/Syndex, 01/10/2025) : ≈ 800 k€ pour Syndex (Paris-Saclay seul, base masse salariale N) contre ≈ 200 k€ pour la Direction (deux sites, base N-1). CSE-E Paris-Saclay du 24/03/2026 : mandat au CSE-C pour transiger à 145 000 € (unanimité, 25 voix).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</si>
</sst>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1"/>
      <name val="Calibri"/>
      <family val="2"/>
      <scheme val="minor"/>
    </font>
    <font>
      <b/>
      <sz val="13"/>
      <color theme="1"/>
      <name val="Calibri"/>
      <family val="2"/>
      <scheme val="minor"/>
    </font>
  </fonts>
  <fills count="3">
    <fill>
      <patternFill patternType="none"/>
    </fill>
    <fill>
      <patternFill patternType="gray125"/>
    </fill>
    <fill>
      <patternFill patternType="solid">
        <fgColor rgb="FFD9D9D9"/>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style="thin">
        <color rgb="FF000000"/>
      </top>
      <bottom/>
      <diagonal/>
    </border>
    <border>
      <left style="thin">
        <color indexed="64"/>
      </left>
      <right style="thin">
        <color indexed="64"/>
      </right>
      <top style="thin">
        <color indexed="64"/>
      </top>
      <bottom/>
      <diagonal/>
    </border>
    <border>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23">
    <xf numFmtId="0" fontId="0" fillId="0" borderId="0" xfId="0"/>
    <xf numFmtId="49" fontId="6" fillId="0" borderId="1" xfId="1" applyNumberFormat="1" applyFont="1" applyBorder="1" applyAlignment="1">
      <alignment vertical="center"/>
    </xf>
    <xf numFmtId="0" fontId="0" fillId="0" borderId="0" xfId="0" applyAlignment="1">
      <alignment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vertical="center"/>
    </xf>
    <xf numFmtId="0" fontId="1" fillId="0" borderId="6" xfId="0" applyFont="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3" fillId="0" borderId="1" xfId="0" applyFont="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5" fillId="0" borderId="1" xfId="0" applyFont="1" applyBorder="1" applyAlignment="1">
      <alignment horizontal="center" vertical="center" wrapText="1"/>
    </xf>
    <xf numFmtId="14" fontId="3" fillId="0" borderId="1" xfId="0" applyNumberFormat="1" applyFont="1" applyBorder="1" applyAlignment="1">
      <alignment horizontal="center" vertical="center" wrapText="1"/>
    </xf>
    <xf numFmtId="49" fontId="0" fillId="0" borderId="1" xfId="0" applyNumberFormat="1" applyBorder="1" applyAlignment="1">
      <alignment horizontal="center" vertical="center" wrapText="1"/>
    </xf>
    <xf numFmtId="49" fontId="3" fillId="0" borderId="1"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vertical="center"/>
    </xf>
    <xf numFmtId="0" fontId="0" fillId="0" borderId="0" xfId="0" applyAlignment="1">
      <alignment vertical="top" wrapText="1"/>
    </xf>
    <xf numFmtId="0" fontId="7" fillId="0" borderId="0" xfId="0" applyFont="1" applyAlignment="1">
      <alignment vertical="top" wrapText="1"/>
    </xf>
    <xf numFmtId="0" fontId="1" fillId="2" borderId="0" xfId="0" applyFont="1" applyFill="1" applyAlignment="1">
      <alignment vertical="top" wrapText="1"/>
    </xf>
  </cellXfs>
  <cellStyles count="2">
    <cellStyle name="Hyperlink" xfId="1" builtinId="8"/>
    <cellStyle name="Normal" xfId="0" builtinId="0"/>
  </cellStyles>
  <dxfs count="29">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FFD8A8"/>
        </patternFill>
      </fill>
    </dxf>
    <dxf>
      <fill>
        <patternFill patternType="solid">
          <fgColor indexed="64"/>
          <bgColor rgb="FFFFC7CE"/>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openxmlformats.org/officeDocument/2006/relationships/customXml" Target="../customXml/item5.xml"/><Relationship Id="rId3" Type="http://schemas.openxmlformats.org/officeDocument/2006/relationships/theme" Target="theme/theme1.xml"/><Relationship Id="rId7" Type="http://schemas.microsoft.com/office/2017/10/relationships/person" Target="persons/person.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openxmlformats.org/officeDocument/2006/relationships/customXml" Target="../customXml/item3.xml"/><Relationship Id="rId5" Type="http://schemas.openxmlformats.org/officeDocument/2006/relationships/sharedStrings" Target="sharedStrings.xml"/><Relationship Id="rId10" Type="http://schemas.openxmlformats.org/officeDocument/2006/relationships/customXml" Target="../customXml/item2.xml"/><Relationship Id="rId4" Type="http://schemas.openxmlformats.org/officeDocument/2006/relationships/styles" Target="styles.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nokia.sharepoint.com/:b:/r/sites/HRLibrary/Controlled%20Documents/HR%20Regions/Europe%20South/France/HR%20SOPs-Guidelines-Policy/Harmonized/Accords%20conventions%202024/Accord%20Etablissement%20NNF%20Lannion%20Mise%20en%20place%20accord%20cadre%20nouvelle%20CCN%20du%207%20mars%202024.pdf" TargetMode="External"/><Relationship Id="rId13" Type="http://schemas.openxmlformats.org/officeDocument/2006/relationships/hyperlink" Target="../../salari%C3%A9s/accords%20n%C3%A9goci%C3%A9s/captures_signatures/rh_Avenant_Accord_ARTT_Lannion_20_03_2025_p08_signature.jpg" TargetMode="External"/><Relationship Id="rId18" Type="http://schemas.openxmlformats.org/officeDocument/2006/relationships/printerSettings" Target="../printerSettings/printerSettings1.bin"/><Relationship Id="rId3" Type="http://schemas.openxmlformats.org/officeDocument/2006/relationships/hyperlink" Target="https://nokia.sharepoint.com/:b:/r/sites/HRLibrary/Controlled%20Documents/HR%20Regions/Europe%20South/France/HR%20SOPs-Guidelines-Policy/Harmonized/Accords%20conventions%202025/Avenant%20Accord%20ARTT%20Lannion%2020%2003%202025.pdf?d=w41b9a9b002484645baa30299d81f4cd9&amp;csf=1&amp;web=1&amp;e=CBBk7K" TargetMode="External"/><Relationship Id="rId7" Type="http://schemas.openxmlformats.org/officeDocument/2006/relationships/hyperlink" Target="https://nokia.sharepoint.com/:b:/r/sites/HRLibrary/Controlled%20Documents/HR%20Regions/Europe%20South/France/HR%20SOPs-Guidelines-Policy/Harmonized/Accords%20conventions%202024/Accord%20collectif%20mise%20en%20place%20CCN.pdf" TargetMode="External"/><Relationship Id="rId12" Type="http://schemas.openxmlformats.org/officeDocument/2006/relationships/hyperlink" Target="../../../../HRLibrary/Controlled%20Documents/HR%20Regions/Europe%20South/France/Archive/SOP%20-%20Guidelines%20-%20HARMONIZED/Accord%202025%20NPS%20-%20am%C3%A9nagement%20temps%20de%20travail%20(20%20janvier%202025).pdf" TargetMode="External"/><Relationship Id="rId17" Type="http://schemas.openxmlformats.org/officeDocument/2006/relationships/hyperlink" Target="../../../../BDESENNF-CSE-C/Shared%20Documents/Forms/AllItems.aspx?id=%2Fsites%2FBDESENNF%2DCSE%2DC%2FShared%20Documents%2F05a%2E%20CSE%2DC%2FCSE%2DC%202025%2F03%2DCSE%2DC%20extraordinaire%209%20avril%202025%2Faccord%20collectif%20relatif%20aux%20%C3%A9volutions%20du%20r%C3%A9gime%20AUXAD%20%2DVF%2Epdf" TargetMode="External"/><Relationship Id="rId2" Type="http://schemas.openxmlformats.org/officeDocument/2006/relationships/hyperlink" Target="https://nokia.sharepoint.com/:b:/r/sites/HRLibrary/Controlled%20Documents/HR%20Regions/Europe%20South/France/HR%20SOPs-Guidelines-Policy/Harmonized/Accords%20conventions%202026/2026%20protocole%20accord%20pr%C3%A9%C3%A9lectoral%20sign%C3%A9.pdf" TargetMode="External"/><Relationship Id="rId16" Type="http://schemas.openxmlformats.org/officeDocument/2006/relationships/hyperlink" Target="../../salari%C3%A9s/accords%20n%C3%A9goci%C3%A9s/captures_signatures/cgt_GEPP_PV_de_desaccord_mis_a_signature_p12_signature.jpg" TargetMode="External"/><Relationship Id="rId1" Type="http://schemas.openxmlformats.org/officeDocument/2006/relationships/hyperlink" Target="https://nokia.sharepoint.com/:b:/r/sites/HRLibrary/Controlled%20Documents/HR%20Regions/Europe%20South/France/HR%20SOPs-Guidelines-Policy/Harmonized/Accords%20conventions%202026/2026%20protocole%20accord%20pr%C3%A9%C3%A9ctoral%20LANNION%20sign%C3%A9.pdf" TargetMode="External"/><Relationship Id="rId6" Type="http://schemas.openxmlformats.org/officeDocument/2006/relationships/hyperlink" Target="https://nokia.sharepoint.com/:b:/r/sites/HRLibrary/Controlled%20Documents/HR%20Regions/Europe%20South/France/HR%20SOPs-Guidelines-Policy/Harmonized/Accords%20conventions%202026/Accord%20Etablissement%20Prorogation%20des%20Mandats%20CSE-E%20Lannion.pdf?d=w43ddbf8e1efb416daa39a1aba4d23da2&amp;csf=1&amp;web=1&amp;e=Awv1cc" TargetMode="External"/><Relationship Id="rId11" Type="http://schemas.openxmlformats.org/officeDocument/2006/relationships/hyperlink" Target="https://nokia.sharepoint.com/:b:/r/sites/HRLibrary/Controlled%20Documents/HR%20Regions/Europe%20South/France/HR%20SOPs-Guidelines-Policy/Harmonized/Accords%20conventions%202023/Accord%20am%C3%A9nagement%20temps%20travail%20NPS%202023.pdf" TargetMode="External"/><Relationship Id="rId5" Type="http://schemas.openxmlformats.org/officeDocument/2006/relationships/hyperlink" Target="https://nokia.sharepoint.com/:b:/r/sites/HRLibrary/Controlled%20Documents/HR%20Regions/Europe%20South/France/HR%20SOPs-Guidelines-Policy/Harmonized/Accords%20conventions%202025/Avenant%20frais%20de%20sant%C3%A9%20(9%20avril%202025).pdf?d=w3ab9353536cb49678646454b636bb215&amp;csf=1&amp;web=1&amp;e=HFDFvw" TargetMode="External"/><Relationship Id="rId15" Type="http://schemas.openxmlformats.org/officeDocument/2006/relationships/hyperlink" Target="../../../../HRLibrary/Controlled%20Documents/HR%20Regions/Europe%20South/France/HR%20SOPs-Guidelines-Policy/Harmonized/Accords%20conventions%202024/PV%20d%C3%A9saccord%20Partage%20de%20la%20valeur%20VS.pdf" TargetMode="External"/><Relationship Id="rId10" Type="http://schemas.openxmlformats.org/officeDocument/2006/relationships/hyperlink" Target="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TargetMode="External"/><Relationship Id="rId4" Type="http://schemas.openxmlformats.org/officeDocument/2006/relationships/hyperlink" Target="https://nokia.sharepoint.com/:b:/r/sites/HRLibrary/Controlled%20Documents/HR%20Regions/Europe%20South/France/HR%20SOPs-Guidelines-Policy/Harmonized/Accords%20conventions%202025/Avenant%20Accord%20Horaire%20Variable%20Lannion%2020%2003%202025.pdf?d=w0708203cc5384f55a34496c60e3be8c7&amp;csf=1&amp;web=1&amp;e=HcRWx3" TargetMode="External"/><Relationship Id="rId9" Type="http://schemas.openxmlformats.org/officeDocument/2006/relationships/hyperlink" Target="https://nokia.sharepoint.com/:b:/r/sites/HRLibrary/Controlled%20Documents/HR%20Regions/Europe%20South/France/HR%20SOPs-Guidelines-Policy/Harmonized/Accords%20conventions%202023/Accord%20augmentation%20nombre%20d%C3%A9l%C3%A9gu%C3%A9s%20syndicaux%20NPS%202023.pdf" TargetMode="External"/><Relationship Id="rId14" Type="http://schemas.openxmlformats.org/officeDocument/2006/relationships/hyperlink" Target="../../salari%C3%A9s/accords%20n%C3%A9goci%C3%A9s/captures_signatures/rh_Avenant_Accord_Horaire_Variable_Lannion_20_03_2025_p07_signature.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1"/>
  <sheetViews>
    <sheetView tabSelected="1" topLeftCell="J1" zoomScaleNormal="100" workbookViewId="0">
      <selection activeCell="P5" sqref="P5"/>
    </sheetView>
  </sheetViews>
  <sheetFormatPr defaultColWidth="12.140625" defaultRowHeight="15" customHeight="1" x14ac:dyDescent="0.25"/>
  <cols>
    <col min="1" max="1" width="8.28515625" style="17" customWidth="1"/>
    <col min="2" max="2" width="7.5703125" style="17" customWidth="1"/>
    <col min="3" max="3" width="41.28515625" style="17" bestFit="1" customWidth="1"/>
    <col min="4" max="4" width="37.5703125" style="2" customWidth="1"/>
    <col min="5" max="5" width="42.42578125" style="17" customWidth="1"/>
    <col min="6" max="6" width="14.28515625" style="17" customWidth="1"/>
    <col min="7" max="7" width="15.28515625" style="17" customWidth="1"/>
    <col min="8" max="10" width="9.28515625" style="17" bestFit="1" customWidth="1"/>
    <col min="11" max="11" width="9.28515625" style="17" customWidth="1"/>
    <col min="12" max="12" width="26.42578125" style="18" customWidth="1"/>
    <col min="13" max="13" width="49.5703125" style="17" customWidth="1"/>
    <col min="14" max="16" width="57.140625" style="17" customWidth="1"/>
    <col min="17" max="17" width="36.28515625" style="17" customWidth="1"/>
    <col min="18" max="18" width="36.85546875" style="18" customWidth="1"/>
    <col min="19" max="19" width="32.28515625" style="17" customWidth="1"/>
    <col min="20" max="16384" width="12.140625" style="17"/>
  </cols>
  <sheetData>
    <row r="1" spans="1:19" ht="30" x14ac:dyDescent="0.25">
      <c r="A1" s="3" t="s">
        <v>9</v>
      </c>
      <c r="B1" s="4" t="s">
        <v>12</v>
      </c>
      <c r="C1" s="5" t="s">
        <v>0</v>
      </c>
      <c r="D1" s="6" t="s">
        <v>131</v>
      </c>
      <c r="E1" s="7" t="s">
        <v>127</v>
      </c>
      <c r="F1" s="8" t="s">
        <v>10</v>
      </c>
      <c r="G1" s="8" t="s">
        <v>221</v>
      </c>
      <c r="H1" s="4" t="s">
        <v>1</v>
      </c>
      <c r="I1" s="4" t="s">
        <v>2</v>
      </c>
      <c r="J1" s="4" t="s">
        <v>3</v>
      </c>
      <c r="K1" s="4" t="s">
        <v>222</v>
      </c>
      <c r="L1" s="9" t="s">
        <v>50</v>
      </c>
      <c r="M1" s="8" t="s">
        <v>24</v>
      </c>
      <c r="N1" s="8" t="s">
        <v>93</v>
      </c>
      <c r="O1" s="8" t="s">
        <v>92</v>
      </c>
      <c r="P1" s="8" t="s">
        <v>11</v>
      </c>
      <c r="Q1" s="8" t="s">
        <v>129</v>
      </c>
      <c r="R1" s="9" t="s">
        <v>130</v>
      </c>
      <c r="S1" s="7" t="s">
        <v>128</v>
      </c>
    </row>
    <row r="2" spans="1:19" ht="105" x14ac:dyDescent="0.25">
      <c r="A2" s="10">
        <v>2026</v>
      </c>
      <c r="B2" s="10" t="s">
        <v>13</v>
      </c>
      <c r="C2" s="10" t="s">
        <v>23</v>
      </c>
      <c r="D2" s="19" t="s">
        <v>35</v>
      </c>
      <c r="E2" s="11" t="str" cm="1">
        <f t="array" ref="E2">_xlfn.LET(_xlpm.n,IFERROR(_xlfn.TEXTAFTER(D2,"/",-1),""),_xlpm.c,{"%20","%27","%28","%29","%2C","%C3%A9","%C3%A8","%C3%AA","%C3%A0","%C3%A2","%C3%A7","%C3%B4","%C3%AE","%C3%B9","%C3%BB","%C3%89","%C2%BA","%C2%B0"},_xlpm.r,{" ","'","(",")",",","é","è","ê","à","â","ç","ô","î","ù","û","É","º","°"},_xlfn.REDUCE(_xlpm.n,_xlfn.SEQUENCE(COLUMNS(_xlpm.c)),_xlfn.LAMBDA(_xlpm.a,_xlpm.i,SUBSTITUTE(_xlpm.a,INDEX(_xlpm.c,_xlpm.i),INDEX(_xlpm.r,_xlpm.i)))))</f>
        <v>Accord_RCC_2026.pdf</v>
      </c>
      <c r="F2" s="12">
        <v>46219</v>
      </c>
      <c r="G2" s="13" t="b">
        <f t="shared" ref="G2:G13" si="0">IF(ISNUMBER(SEARCH("PV de désaccord",C2)),TRUE,IF(AND(B2="LAN",I2=TRUE),TRUE,IF(AND(B2="NPS",I2=TRUE,K2=TRUE),TRUE,_xlfn.LET(_xlpm.ok,COUNTIF(H2:J2,TRUE),_xlpm.av,COUNTIF(H2:J2,"À vérifier"),IF(_xlpm.ok&gt;=2,TRUE,IF(_xlpm.ok+_xlpm.av&gt;=2,"À vérifier",FALSE))))))</f>
        <v>1</v>
      </c>
      <c r="H2" s="13" t="b">
        <v>0</v>
      </c>
      <c r="I2" s="13" t="b">
        <v>1</v>
      </c>
      <c r="J2" s="13" t="b">
        <v>1</v>
      </c>
      <c r="K2" s="13" t="str">
        <f t="shared" ref="K2:K15" si="1">IF(OR(B2="NNF",B2="LAN"),"-",ISNUMBER(SEARCH("de la CFTC",M2)))</f>
        <v>-</v>
      </c>
      <c r="L2" s="19" t="s">
        <v>63</v>
      </c>
      <c r="M2" s="12" t="s">
        <v>188</v>
      </c>
      <c r="N2" s="11" t="s">
        <v>106</v>
      </c>
      <c r="O2" s="11" t="s">
        <v>228</v>
      </c>
      <c r="P2" s="11" t="s">
        <v>307</v>
      </c>
      <c r="Q2" s="15" t="s">
        <v>132</v>
      </c>
      <c r="R2" s="19" t="s">
        <v>41</v>
      </c>
      <c r="S2" s="11" t="str" cm="1">
        <f t="array" ref="S2">_xlfn.LET(_xlpm.n,IFERROR(_xlfn.TEXTAFTER(R2,"/",-1),""),_xlpm.c,{"%20","%27","%28","%29","%2C","%C3%A9","%C3%A8","%C3%AA","%C3%A0","%C3%A2","%C3%A7","%C3%B4","%C3%AE","%C3%B9","%C3%BB","%C3%89","%C2%BA","%C2%B0"},_xlpm.r,{" ","'","(",")",",","é","è","ê","à","â","ç","ô","î","ù","û","É","º","°"},_xlfn.REDUCE(_xlpm.n,_xlfn.SEQUENCE(COLUMNS(_xlpm.c)),_xlfn.LAMBDA(_xlpm.a,_xlpm.i,SUBSTITUTE(_xlpm.a,INDEX(_xlpm.c,_xlpm.i),INDEX(_xlpm.r,_xlpm.i)))))</f>
        <v>2026_06_TRACT-RetourSondageRCC2026-2.pdf</v>
      </c>
    </row>
    <row r="3" spans="1:19" ht="60" x14ac:dyDescent="0.25">
      <c r="A3" s="10">
        <v>2026</v>
      </c>
      <c r="B3" s="10" t="s">
        <v>172</v>
      </c>
      <c r="C3" s="10" t="s">
        <v>142</v>
      </c>
      <c r="D3" s="19" t="s">
        <v>152</v>
      </c>
      <c r="E3" s="11" t="str" cm="1">
        <f t="array" ref="E3">_xlfn.LET(_xlpm.n,IFERROR(_xlfn.TEXTAFTER(D3,"/",-1),""),_xlpm.c,{"%20","%27","%28","%29","%2C","%C3%A9","%C3%A8","%C3%AA","%C3%A0","%C3%A2","%C3%A7","%C3%B4","%C3%AE","%C3%B9","%C3%BB","%C3%89","%C2%BA","%C2%B0"},_xlpm.r,{" ","'","(",")",",","é","è","ê","à","â","ç","ô","î","ù","û","É","º","°"},_xlfn.REDUCE(_xlpm.n,_xlfn.SEQUENCE(COLUMNS(_xlpm.c)),_xlfn.LAMBDA(_xlpm.a,_xlpm.i,SUBSTITUTE(_xlpm.a,INDEX(_xlpm.c,_xlpm.i),INDEX(_xlpm.r,_xlpm.i)))))</f>
        <v>2026 protocole accord prééctoral LANNION signé.pdf</v>
      </c>
      <c r="F3" s="12">
        <f>DATE(2026,7,15)</f>
        <v>46218</v>
      </c>
      <c r="G3" s="13" t="b">
        <f t="shared" si="0"/>
        <v>1</v>
      </c>
      <c r="H3" s="13" t="b">
        <v>1</v>
      </c>
      <c r="I3" s="13" t="b">
        <v>1</v>
      </c>
      <c r="J3" s="13" t="b">
        <v>1</v>
      </c>
      <c r="K3" s="13" t="str">
        <f t="shared" si="1"/>
        <v>-</v>
      </c>
      <c r="L3" s="19" t="s">
        <v>176</v>
      </c>
      <c r="M3" s="11" t="s">
        <v>186</v>
      </c>
      <c r="N3" s="11" t="s">
        <v>162</v>
      </c>
      <c r="O3" s="11"/>
      <c r="P3" s="17" t="s">
        <v>232</v>
      </c>
      <c r="Q3" s="15"/>
      <c r="R3" s="19"/>
      <c r="S3" s="11"/>
    </row>
    <row r="4" spans="1:19" ht="45" x14ac:dyDescent="0.25">
      <c r="A4" s="10">
        <v>2026</v>
      </c>
      <c r="B4" s="10" t="s">
        <v>14</v>
      </c>
      <c r="C4" s="10" t="s">
        <v>143</v>
      </c>
      <c r="D4" s="19" t="s">
        <v>153</v>
      </c>
      <c r="E4" s="11" t="str" cm="1">
        <f t="array" ref="E4">_xlfn.LET(_xlpm.n,IFERROR(_xlfn.TEXTAFTER(D4,"/",-1),""),_xlpm.c,{"%20","%27","%28","%29","%2C","%C3%A9","%C3%A8","%C3%AA","%C3%A0","%C3%A2","%C3%A7","%C3%B4","%C3%AE","%C3%B9","%C3%BB","%C3%89","%C2%BA","%C2%B0"},_xlpm.r,{" ","'","(",")",",","é","è","ê","à","â","ç","ô","î","ù","û","É","º","°"},_xlfn.REDUCE(_xlpm.n,_xlfn.SEQUENCE(COLUMNS(_xlpm.c)),_xlfn.LAMBDA(_xlpm.a,_xlpm.i,SUBSTITUTE(_xlpm.a,INDEX(_xlpm.c,_xlpm.i),INDEX(_xlpm.r,_xlpm.i)))))</f>
        <v>2026 protocole accord préélectoral signé.pdf</v>
      </c>
      <c r="F4" s="12">
        <f>DATE(2026,7,15)</f>
        <v>46218</v>
      </c>
      <c r="G4" s="13" t="b">
        <f t="shared" si="0"/>
        <v>1</v>
      </c>
      <c r="H4" s="13" t="b">
        <v>1</v>
      </c>
      <c r="I4" s="13" t="b">
        <v>1</v>
      </c>
      <c r="J4" s="13" t="b">
        <v>1</v>
      </c>
      <c r="K4" s="13" t="b">
        <f t="shared" si="1"/>
        <v>1</v>
      </c>
      <c r="L4" s="19" t="s">
        <v>177</v>
      </c>
      <c r="M4" s="11" t="s">
        <v>83</v>
      </c>
      <c r="N4" s="11" t="s">
        <v>163</v>
      </c>
      <c r="O4" s="11"/>
      <c r="P4" s="17" t="s">
        <v>233</v>
      </c>
      <c r="Q4" s="15"/>
      <c r="R4" s="19"/>
      <c r="S4" s="11"/>
    </row>
    <row r="5" spans="1:19" ht="165" x14ac:dyDescent="0.25">
      <c r="A5" s="10">
        <v>2026</v>
      </c>
      <c r="B5" s="10" t="s">
        <v>13</v>
      </c>
      <c r="C5" s="10" t="s">
        <v>309</v>
      </c>
      <c r="D5" s="19" t="s">
        <v>99</v>
      </c>
      <c r="E5" s="11" t="str" cm="1">
        <f t="array" ref="E5">_xlfn.LET(_xlpm.n,IFERROR(_xlfn.TEXTAFTER(D5,"/",-1),""),_xlpm.c,{"%20","%27","%28","%29","%2C","%C3%A9","%C3%A8","%C3%AA","%C3%A0","%C3%A2","%C3%A7","%C3%B4","%C3%AE","%C3%B9","%C3%BB","%C3%89","%C2%BA","%C2%B0"},_xlpm.r,{" ","'","(",")",",","é","è","ê","à","â","ç","ô","î","ù","û","É","º","°"},_xlfn.REDUCE(_xlpm.n,_xlfn.SEQUENCE(COLUMNS(_xlpm.c)),_xlfn.LAMBDA(_xlpm.a,_xlpm.i,SUBSTITUTE(_xlpm.a,INDEX(_xlpm.c,_xlpm.i),INDEX(_xlpm.r,_xlpm.i)))))</f>
        <v>Avenant nº 1 à l'Accord CSE du 21 septembre 2018.pdf</v>
      </c>
      <c r="F5" s="12">
        <v>46212</v>
      </c>
      <c r="G5" s="13" t="b">
        <f t="shared" si="0"/>
        <v>1</v>
      </c>
      <c r="H5" s="13" t="b">
        <v>1</v>
      </c>
      <c r="I5" s="13" t="b">
        <v>1</v>
      </c>
      <c r="J5" s="13" t="b">
        <v>1</v>
      </c>
      <c r="K5" s="13" t="str">
        <f t="shared" si="1"/>
        <v>-</v>
      </c>
      <c r="L5" s="19" t="s">
        <v>64</v>
      </c>
      <c r="M5" s="12" t="s">
        <v>84</v>
      </c>
      <c r="N5" s="11" t="s">
        <v>326</v>
      </c>
      <c r="O5" s="11" t="s">
        <v>327</v>
      </c>
      <c r="P5" s="11" t="s">
        <v>313</v>
      </c>
      <c r="Q5" s="15" t="s">
        <v>8</v>
      </c>
      <c r="R5" s="19" t="s">
        <v>8</v>
      </c>
      <c r="S5" s="11" t="str" cm="1">
        <f t="array" ref="S5">_xlfn.LET(_xlpm.n,IFERROR(_xlfn.TEXTAFTER(R5,"/",-1),""),_xlpm.c,{"%20","%27","%28","%29","%2C","%C3%A9","%C3%A8","%C3%AA","%C3%A0","%C3%A2","%C3%A7","%C3%B4","%C3%AE","%C3%B9","%C3%BB","%C3%89","%C2%BA","%C2%B0"},_xlpm.r,{" ","'","(",")",",","é","è","ê","à","â","ç","ô","î","ù","û","É","º","°"},_xlfn.REDUCE(_xlpm.n,_xlfn.SEQUENCE(COLUMNS(_xlpm.c)),_xlfn.LAMBDA(_xlpm.a,_xlpm.i,SUBSTITUTE(_xlpm.a,INDEX(_xlpm.c,_xlpm.i),INDEX(_xlpm.r,_xlpm.i)))))</f>
        <v/>
      </c>
    </row>
    <row r="6" spans="1:19" ht="90" x14ac:dyDescent="0.25">
      <c r="A6" s="10">
        <v>2026</v>
      </c>
      <c r="B6" s="10" t="s">
        <v>13</v>
      </c>
      <c r="C6" s="10" t="s">
        <v>15</v>
      </c>
      <c r="D6" s="19" t="s">
        <v>94</v>
      </c>
      <c r="E6" s="10" t="str" cm="1">
        <f t="array" ref="E6">_xlfn.LET(_xlpm.n,IFERROR(_xlfn.TEXTAFTER(D6,"/",-1),""),_xlpm.c,{"%20","%27","%28","%29","%2C","%C3%A9","%C3%A8","%C3%AA","%C3%A0","%C3%A2","%C3%A7","%C3%B4","%C3%AE","%C3%B9","%C3%BB","%C3%89","%C2%BA","%C2%B0"},_xlpm.r,{" ","'","(",")",",","é","è","ê","à","â","ç","ô","î","ù","û","É","º","°"},_xlfn.REDUCE(_xlpm.n,_xlfn.SEQUENCE(COLUMNS(_xlpm.c)),_xlfn.LAMBDA(_xlpm.a,_xlpm.i,SUBSTITUTE(_xlpm.a,INDEX(_xlpm.c,_xlpm.i),INDEX(_xlpm.r,_xlpm.i)))))</f>
        <v>Accord d'entreprise relatif à la situation de handicap NNF.pdf</v>
      </c>
      <c r="F6" s="12">
        <v>46192</v>
      </c>
      <c r="G6" s="13" t="b">
        <f t="shared" si="0"/>
        <v>1</v>
      </c>
      <c r="H6" s="13" t="b">
        <v>1</v>
      </c>
      <c r="I6" s="13" t="b">
        <v>1</v>
      </c>
      <c r="J6" s="13" t="b">
        <v>1</v>
      </c>
      <c r="K6" s="13" t="str">
        <f t="shared" si="1"/>
        <v>-</v>
      </c>
      <c r="L6" s="19" t="s">
        <v>174</v>
      </c>
      <c r="M6" s="12" t="s">
        <v>189</v>
      </c>
      <c r="N6" s="10" t="s">
        <v>107</v>
      </c>
      <c r="O6" s="10" t="s">
        <v>229</v>
      </c>
      <c r="P6" s="17" t="s">
        <v>308</v>
      </c>
      <c r="Q6" s="16" t="s">
        <v>8</v>
      </c>
      <c r="R6" s="19" t="s">
        <v>8</v>
      </c>
      <c r="S6" s="10" t="str" cm="1">
        <f t="array" ref="S6">_xlfn.LET(_xlpm.n,IFERROR(_xlfn.TEXTAFTER(R6,"/",-1),""),_xlpm.c,{"%20","%27","%28","%29","%2C","%C3%A9","%C3%A8","%C3%AA","%C3%A0","%C3%A2","%C3%A7","%C3%B4","%C3%AE","%C3%B9","%C3%BB","%C3%89","%C2%BA","%C2%B0"},_xlpm.r,{" ","'","(",")",",","é","è","ê","à","â","ç","ô","î","ù","û","É","º","°"},_xlfn.REDUCE(_xlpm.n,_xlfn.SEQUENCE(COLUMNS(_xlpm.c)),_xlfn.LAMBDA(_xlpm.a,_xlpm.i,SUBSTITUTE(_xlpm.a,INDEX(_xlpm.c,_xlpm.i),INDEX(_xlpm.r,_xlpm.i)))))</f>
        <v/>
      </c>
    </row>
    <row r="7" spans="1:19" ht="45" x14ac:dyDescent="0.25">
      <c r="A7" s="10">
        <v>2026</v>
      </c>
      <c r="B7" s="10" t="s">
        <v>172</v>
      </c>
      <c r="C7" s="10" t="s">
        <v>147</v>
      </c>
      <c r="D7" s="19" t="s">
        <v>160</v>
      </c>
      <c r="E7" s="11" t="str" cm="1">
        <f t="array" ref="E7">_xlfn.LET(_xlpm.n,IFERROR(_xlfn.TEXTAFTER(D7,"/",-1),""),_xlpm.c,{"%20","%27","%28","%29","%2C","%C3%A9","%C3%A8","%C3%AA","%C3%A0","%C3%A2","%C3%A7","%C3%B4","%C3%AE","%C3%B9","%C3%BB","%C3%89","%C2%BA","%C2%B0"},_xlpm.r,{" ","'","(",")",",","é","è","ê","à","â","ç","ô","î","ù","û","É","º","°"},_xlfn.REDUCE(_xlpm.n,_xlfn.SEQUENCE(COLUMNS(_xlpm.c)),_xlfn.LAMBDA(_xlpm.a,_xlpm.i,SUBSTITUTE(_xlpm.a,INDEX(_xlpm.c,_xlpm.i),INDEX(_xlpm.r,_xlpm.i)))))</f>
        <v>Accord Etablissement Prorogation des Mandats CSE-E Lannion.pdf</v>
      </c>
      <c r="F7" s="12">
        <f>DATE(2026,5,18)</f>
        <v>46160</v>
      </c>
      <c r="G7" s="13" t="b">
        <f t="shared" si="0"/>
        <v>1</v>
      </c>
      <c r="H7" s="13" t="b">
        <v>1</v>
      </c>
      <c r="I7" s="13" t="b">
        <v>1</v>
      </c>
      <c r="J7" s="13" t="b">
        <v>1</v>
      </c>
      <c r="K7" s="13" t="str">
        <f t="shared" si="1"/>
        <v>-</v>
      </c>
      <c r="L7" s="19" t="s">
        <v>181</v>
      </c>
      <c r="M7" s="11" t="s">
        <v>190</v>
      </c>
      <c r="N7" s="11" t="s">
        <v>167</v>
      </c>
      <c r="O7" s="11"/>
      <c r="P7" s="17" t="s">
        <v>250</v>
      </c>
      <c r="Q7" s="15"/>
      <c r="R7" s="19"/>
      <c r="S7" s="11"/>
    </row>
    <row r="8" spans="1:19" ht="90" x14ac:dyDescent="0.25">
      <c r="A8" s="10">
        <v>2026</v>
      </c>
      <c r="B8" s="10" t="s">
        <v>13</v>
      </c>
      <c r="C8" s="10" t="s">
        <v>54</v>
      </c>
      <c r="D8" s="19" t="s">
        <v>100</v>
      </c>
      <c r="E8" s="11" t="str" cm="1">
        <f t="array" ref="E8">_xlfn.LET(_xlpm.n,IFERROR(_xlfn.TEXTAFTER(D8,"/",-1),""),_xlpm.c,{"%20","%27","%28","%29","%2C","%C3%A9","%C3%A8","%C3%AA","%C3%A0","%C3%A2","%C3%A7","%C3%B4","%C3%AE","%C3%B9","%C3%BB","%C3%89","%C2%BA","%C2%B0"},_xlpm.r,{" ","'","(",")",",","é","è","ê","à","â","ç","ô","î","ù","û","É","º","°"},_xlfn.REDUCE(_xlpm.n,_xlfn.SEQUENCE(COLUMNS(_xlpm.c)),_xlfn.LAMBDA(_xlpm.a,_xlpm.i,SUBSTITUTE(_xlpm.a,INDEX(_xlpm.c,_xlpm.i),INDEX(_xlpm.r,_xlpm.i)))))</f>
        <v>NAO_2026_Procès_verbal_d_accord_24 janvier_2026.pdf</v>
      </c>
      <c r="F8" s="12">
        <f>DATE(2026,1,24)</f>
        <v>46046</v>
      </c>
      <c r="G8" s="13" t="b">
        <f t="shared" si="0"/>
        <v>1</v>
      </c>
      <c r="H8" s="13" t="b">
        <v>1</v>
      </c>
      <c r="I8" s="13" t="b">
        <v>1</v>
      </c>
      <c r="J8" s="13" t="b">
        <v>1</v>
      </c>
      <c r="K8" s="13" t="str">
        <f t="shared" si="1"/>
        <v>-</v>
      </c>
      <c r="L8" s="19" t="s">
        <v>65</v>
      </c>
      <c r="M8" s="12" t="s">
        <v>81</v>
      </c>
      <c r="N8" s="11" t="s">
        <v>319</v>
      </c>
      <c r="O8" s="11" t="s">
        <v>275</v>
      </c>
      <c r="P8" s="17" t="s">
        <v>320</v>
      </c>
      <c r="Q8" s="15" t="s">
        <v>8</v>
      </c>
      <c r="R8" s="19" t="s">
        <v>8</v>
      </c>
      <c r="S8" s="11" t="str" cm="1">
        <f t="array" ref="S8">_xlfn.LET(_xlpm.n,IFERROR(_xlfn.TEXTAFTER(R8,"/",-1),""),_xlpm.c,{"%20","%27","%28","%29","%2C","%C3%A9","%C3%A8","%C3%AA","%C3%A0","%C3%A2","%C3%A7","%C3%B4","%C3%AE","%C3%B9","%C3%BB","%C3%89","%C2%BA","%C2%B0"},_xlpm.r,{" ","'","(",")",",","é","è","ê","à","â","ç","ô","î","ù","û","É","º","°"},_xlfn.REDUCE(_xlpm.n,_xlfn.SEQUENCE(COLUMNS(_xlpm.c)),_xlfn.LAMBDA(_xlpm.a,_xlpm.i,SUBSTITUTE(_xlpm.a,INDEX(_xlpm.c,_xlpm.i),INDEX(_xlpm.r,_xlpm.i)))))</f>
        <v/>
      </c>
    </row>
    <row r="9" spans="1:19" ht="30" x14ac:dyDescent="0.25">
      <c r="A9" s="10">
        <v>2026</v>
      </c>
      <c r="B9" s="10" t="s">
        <v>13</v>
      </c>
      <c r="C9" s="10" t="s">
        <v>53</v>
      </c>
      <c r="D9" s="19" t="s">
        <v>60</v>
      </c>
      <c r="E9" s="11" t="str" cm="1">
        <f t="array" ref="E9">_xlfn.LET(_xlpm.n,IFERROR(_xlfn.TEXTAFTER(D9,"/",-1),""),_xlpm.c,{"%20","%27","%28","%29","%2C","%C3%A9","%C3%A8","%C3%AA","%C3%A0","%C3%A2","%C3%A7","%C3%B4","%C3%AE","%C3%B9","%C3%BB","%C3%89","%C2%BA","%C2%B0"},_xlpm.r,{" ","'","(",")",",","é","è","ê","à","â","ç","ô","î","ù","û","É","º","°"},_xlfn.REDUCE(_xlpm.n,_xlfn.SEQUENCE(COLUMNS(_xlpm.c)),_xlfn.LAMBDA(_xlpm.a,_xlpm.i,SUBSTITUTE(_xlpm.a,INDEX(_xlpm.c,_xlpm.i),INDEX(_xlpm.r,_xlpm.i)))))</f>
        <v>Avenant RCC 2025.pdf</v>
      </c>
      <c r="F9" s="12">
        <v>46037</v>
      </c>
      <c r="G9" s="13" t="b">
        <f t="shared" si="0"/>
        <v>1</v>
      </c>
      <c r="H9" s="13" t="b">
        <v>0</v>
      </c>
      <c r="I9" s="13" t="b">
        <v>1</v>
      </c>
      <c r="J9" s="13" t="b">
        <v>1</v>
      </c>
      <c r="K9" s="13" t="str">
        <f t="shared" si="1"/>
        <v>-</v>
      </c>
      <c r="L9" s="19" t="s">
        <v>66</v>
      </c>
      <c r="M9" s="12" t="s">
        <v>191</v>
      </c>
      <c r="N9" s="11" t="s">
        <v>108</v>
      </c>
      <c r="O9" s="11" t="s">
        <v>251</v>
      </c>
      <c r="P9" s="11" t="s">
        <v>252</v>
      </c>
      <c r="Q9" s="15" t="s">
        <v>8</v>
      </c>
      <c r="R9" s="19" t="s">
        <v>8</v>
      </c>
      <c r="S9" s="11" t="str" cm="1">
        <f t="array" ref="S9">_xlfn.LET(_xlpm.n,IFERROR(_xlfn.TEXTAFTER(R9,"/",-1),""),_xlpm.c,{"%20","%27","%28","%29","%2C","%C3%A9","%C3%A8","%C3%AA","%C3%A0","%C3%A2","%C3%A7","%C3%B4","%C3%AE","%C3%B9","%C3%BB","%C3%89","%C2%BA","%C2%B0"},_xlpm.r,{" ","'","(",")",",","é","è","ê","à","â","ç","ô","î","ù","û","É","º","°"},_xlfn.REDUCE(_xlpm.n,_xlfn.SEQUENCE(COLUMNS(_xlpm.c)),_xlfn.LAMBDA(_xlpm.a,_xlpm.i,SUBSTITUTE(_xlpm.a,INDEX(_xlpm.c,_xlpm.i),INDEX(_xlpm.r,_xlpm.i)))))</f>
        <v/>
      </c>
    </row>
    <row r="10" spans="1:19" ht="45" x14ac:dyDescent="0.25">
      <c r="A10" s="10">
        <v>2026</v>
      </c>
      <c r="B10" s="10" t="s">
        <v>14</v>
      </c>
      <c r="C10" s="10" t="s">
        <v>52</v>
      </c>
      <c r="D10" s="19" t="s">
        <v>40</v>
      </c>
      <c r="E10" s="10" t="str" cm="1">
        <f t="array" ref="E10">_xlfn.LET(_xlpm.n,IFERROR(_xlfn.TEXTAFTER(D10,"/",-1),""),_xlpm.c,{"%20","%27","%28","%29","%2C","%C3%A9","%C3%A8","%C3%AA","%C3%A0","%C3%A2","%C3%A7","%C3%B4","%C3%AE","%C3%B9","%C3%BB","%C3%89","%C2%BA","%C2%B0"},_xlpm.r,{" ","'","(",")",",","é","è","ê","à","â","ç","ô","î","ù","û","É","º","°"},_xlfn.REDUCE(_xlpm.n,_xlfn.SEQUENCE(COLUMNS(_xlpm.c)),_xlfn.LAMBDA(_xlpm.a,_xlpm.i,SUBSTITUTE(_xlpm.a,INDEX(_xlpm.c,_xlpm.i),INDEX(_xlpm.r,_xlpm.i)))))</f>
        <v>Accord Aménagement Temps Travail NPS 2026 (19 décembre 2025).pdf</v>
      </c>
      <c r="F10" s="12">
        <v>46010</v>
      </c>
      <c r="G10" s="13" t="b">
        <f t="shared" si="0"/>
        <v>1</v>
      </c>
      <c r="H10" s="13" t="b">
        <v>1</v>
      </c>
      <c r="I10" s="13" t="b">
        <v>1</v>
      </c>
      <c r="J10" s="13" t="b">
        <v>1</v>
      </c>
      <c r="K10" s="13" t="b">
        <f t="shared" si="1"/>
        <v>1</v>
      </c>
      <c r="L10" s="19" t="s">
        <v>67</v>
      </c>
      <c r="M10" s="12" t="s">
        <v>192</v>
      </c>
      <c r="N10" s="10" t="s">
        <v>109</v>
      </c>
      <c r="O10" s="10"/>
      <c r="P10" s="10" t="s">
        <v>253</v>
      </c>
      <c r="Q10" s="16" t="s">
        <v>8</v>
      </c>
      <c r="R10" s="19" t="s">
        <v>8</v>
      </c>
      <c r="S10" s="10" t="str" cm="1">
        <f t="array" ref="S10">_xlfn.LET(_xlpm.n,IFERROR(_xlfn.TEXTAFTER(R10,"/",-1),""),_xlpm.c,{"%20","%27","%28","%29","%2C","%C3%A9","%C3%A8","%C3%AA","%C3%A0","%C3%A2","%C3%A7","%C3%B4","%C3%AE","%C3%B9","%C3%BB","%C3%89","%C2%BA","%C2%B0"},_xlpm.r,{" ","'","(",")",",","é","è","ê","à","â","ç","ô","î","ù","û","É","º","°"},_xlfn.REDUCE(_xlpm.n,_xlfn.SEQUENCE(COLUMNS(_xlpm.c)),_xlfn.LAMBDA(_xlpm.a,_xlpm.i,SUBSTITUTE(_xlpm.a,INDEX(_xlpm.c,_xlpm.i),INDEX(_xlpm.r,_xlpm.i)))))</f>
        <v/>
      </c>
    </row>
    <row r="11" spans="1:19" ht="135" x14ac:dyDescent="0.25">
      <c r="A11" s="10">
        <v>2026</v>
      </c>
      <c r="B11" s="10" t="s">
        <v>13</v>
      </c>
      <c r="C11" s="10" t="s">
        <v>51</v>
      </c>
      <c r="D11" s="19" t="s">
        <v>101</v>
      </c>
      <c r="E11" s="11" t="str" cm="1">
        <f t="array" ref="E11">_xlfn.LET(_xlpm.n,IFERROR(_xlfn.TEXTAFTER(D11,"/",-1),""),_xlpm.c,{"%20","%27","%28","%29","%2C","%C3%A9","%C3%A8","%C3%AA","%C3%A0","%C3%A2","%C3%A7","%C3%B4","%C3%AE","%C3%B9","%C3%BB","%C3%89","%C2%BA","%C2%B0"},_xlpm.r,{" ","'","(",")",",","é","è","ê","à","â","ç","ô","î","ù","û","É","º","°"},_xlfn.REDUCE(_xlpm.n,_xlfn.SEQUENCE(COLUMNS(_xlpm.c)),_xlfn.LAMBDA(_xlpm.a,_xlpm.i,SUBSTITUTE(_xlpm.a,INDEX(_xlpm.c,_xlpm.i),INDEX(_xlpm.r,_xlpm.i)))))</f>
        <v>Accord collectif portant sur une Rupture Conventionnelle Collective (RCC) au sein de Nokia Networks France (compressé).pdf</v>
      </c>
      <c r="F11" s="12">
        <v>46010</v>
      </c>
      <c r="G11" s="13" t="b">
        <f t="shared" si="0"/>
        <v>1</v>
      </c>
      <c r="H11" s="13" t="b">
        <v>0</v>
      </c>
      <c r="I11" s="13" t="b">
        <v>1</v>
      </c>
      <c r="J11" s="13" t="b">
        <v>1</v>
      </c>
      <c r="K11" s="13" t="str">
        <f t="shared" si="1"/>
        <v>-</v>
      </c>
      <c r="L11" s="19" t="s">
        <v>68</v>
      </c>
      <c r="M11" s="12" t="s">
        <v>193</v>
      </c>
      <c r="N11" s="11" t="s">
        <v>110</v>
      </c>
      <c r="O11" s="11" t="s">
        <v>254</v>
      </c>
      <c r="P11" s="11" t="s">
        <v>312</v>
      </c>
      <c r="Q11" s="15" t="s">
        <v>133</v>
      </c>
      <c r="R11" s="19" t="s">
        <v>42</v>
      </c>
      <c r="S11" s="11" t="str" cm="1">
        <f t="array" ref="S11">_xlfn.LET(_xlpm.n,IFERROR(_xlfn.TEXTAFTER(R11,"/",-1),""),_xlpm.c,{"%20","%27","%28","%29","%2C","%C3%A9","%C3%A8","%C3%AA","%C3%A0","%C3%A2","%C3%A7","%C3%B4","%C3%AE","%C3%B9","%C3%BB","%C3%89","%C2%BA","%C2%B0"},_xlpm.r,{" ","'","(",")",",","é","è","ê","à","â","ç","ô","î","ù","û","É","º","°"},_xlfn.REDUCE(_xlpm.n,_xlfn.SEQUENCE(COLUMNS(_xlpm.c)),_xlfn.LAMBDA(_xlpm.a,_xlpm.i,SUBSTITUTE(_xlpm.a,INDEX(_xlpm.c,_xlpm.i),INDEX(_xlpm.r,_xlpm.i)))))</f>
        <v>tract_pour_ceux_qui_restent.pdf</v>
      </c>
    </row>
    <row r="12" spans="1:19" ht="45" x14ac:dyDescent="0.25">
      <c r="A12" s="10">
        <v>2025</v>
      </c>
      <c r="B12" s="10" t="s">
        <v>13</v>
      </c>
      <c r="C12" s="10" t="s">
        <v>17</v>
      </c>
      <c r="D12" s="19" t="s">
        <v>102</v>
      </c>
      <c r="E12" s="11" t="str" cm="1">
        <f t="array" ref="E12">_xlfn.LET(_xlpm.n,IFERROR(_xlfn.TEXTAFTER(D12,"/",-1),""),_xlpm.c,{"%20","%27","%28","%29","%2C","%C3%A9","%C3%A8","%C3%AA","%C3%A0","%C3%A2","%C3%A7","%C3%B4","%C3%AE","%C3%B9","%C3%BB","%C3%89","%C2%BA","%C2%B0"},_xlpm.r,{" ","'","(",")",",","é","è","ê","à","â","ç","ô","î","ù","û","É","º","°"},_xlfn.REDUCE(_xlpm.n,_xlfn.SEQUENCE(COLUMNS(_xlpm.c)),_xlfn.LAMBDA(_xlpm.a,_xlpm.i,SUBSTITUTE(_xlpm.a,INDEX(_xlpm.c,_xlpm.i),INDEX(_xlpm.r,_xlpm.i)))))</f>
        <v>Accord d'entreprise relatif au Plan d'Epargne Entreprise au sein de Nokia Networks France (16 décembre 2025).pdf</v>
      </c>
      <c r="F12" s="12">
        <v>46007</v>
      </c>
      <c r="G12" s="13" t="b">
        <f t="shared" si="0"/>
        <v>1</v>
      </c>
      <c r="H12" s="13" t="b">
        <v>0</v>
      </c>
      <c r="I12" s="13" t="b">
        <v>1</v>
      </c>
      <c r="J12" s="13" t="b">
        <v>1</v>
      </c>
      <c r="K12" s="13" t="str">
        <f t="shared" si="1"/>
        <v>-</v>
      </c>
      <c r="L12" s="19" t="s">
        <v>69</v>
      </c>
      <c r="M12" s="12" t="s">
        <v>194</v>
      </c>
      <c r="N12" s="11" t="s">
        <v>111</v>
      </c>
      <c r="O12" s="11" t="s">
        <v>255</v>
      </c>
      <c r="P12" s="11" t="s">
        <v>213</v>
      </c>
      <c r="Q12" s="15" t="s">
        <v>8</v>
      </c>
      <c r="R12" s="19" t="s">
        <v>8</v>
      </c>
      <c r="S12" s="11" t="str" cm="1">
        <f t="array" ref="S12">_xlfn.LET(_xlpm.n,IFERROR(_xlfn.TEXTAFTER(R12,"/",-1),""),_xlpm.c,{"%20","%27","%28","%29","%2C","%C3%A9","%C3%A8","%C3%AA","%C3%A0","%C3%A2","%C3%A7","%C3%B4","%C3%AE","%C3%B9","%C3%BB","%C3%89","%C2%BA","%C2%B0"},_xlpm.r,{" ","'","(",")",",","é","è","ê","à","â","ç","ô","î","ù","û","É","º","°"},_xlfn.REDUCE(_xlpm.n,_xlfn.SEQUENCE(COLUMNS(_xlpm.c)),_xlfn.LAMBDA(_xlpm.a,_xlpm.i,SUBSTITUTE(_xlpm.a,INDEX(_xlpm.c,_xlpm.i),INDEX(_xlpm.r,_xlpm.i)))))</f>
        <v/>
      </c>
    </row>
    <row r="13" spans="1:19" ht="45" x14ac:dyDescent="0.25">
      <c r="A13" s="10">
        <v>2025</v>
      </c>
      <c r="B13" s="10" t="s">
        <v>13</v>
      </c>
      <c r="C13" s="10" t="s">
        <v>16</v>
      </c>
      <c r="D13" s="19" t="s">
        <v>103</v>
      </c>
      <c r="E13" s="11" t="str" cm="1">
        <f t="array" ref="E13">_xlfn.LET(_xlpm.n,IFERROR(_xlfn.TEXTAFTER(D13,"/",-1),""),_xlpm.c,{"%20","%27","%28","%29","%2C","%C3%A9","%C3%A8","%C3%AA","%C3%A0","%C3%A2","%C3%A7","%C3%B4","%C3%AE","%C3%B9","%C3%BB","%C3%89","%C2%BA","%C2%B0"},_xlpm.r,{" ","'","(",")",",","é","è","ê","à","â","ç","ô","î","ù","û","É","º","°"},_xlfn.REDUCE(_xlpm.n,_xlfn.SEQUENCE(COLUMNS(_xlpm.c)),_xlfn.LAMBDA(_xlpm.a,_xlpm.i,SUBSTITUTE(_xlpm.a,INDEX(_xlpm.c,_xlpm.i),INDEX(_xlpm.r,_xlpm.i)))))</f>
        <v>Accord d'entreprise relatif au Plan d'Epargne Retraite d'Entreprise Collectif PERCOL (16 décembre 2025).pdf</v>
      </c>
      <c r="F13" s="12">
        <v>46007</v>
      </c>
      <c r="G13" s="13" t="b">
        <f t="shared" si="0"/>
        <v>1</v>
      </c>
      <c r="H13" s="13" t="b">
        <v>0</v>
      </c>
      <c r="I13" s="13" t="b">
        <v>1</v>
      </c>
      <c r="J13" s="13" t="b">
        <v>1</v>
      </c>
      <c r="K13" s="13" t="str">
        <f t="shared" si="1"/>
        <v>-</v>
      </c>
      <c r="L13" s="19" t="s">
        <v>70</v>
      </c>
      <c r="M13" s="12" t="s">
        <v>195</v>
      </c>
      <c r="N13" s="11" t="s">
        <v>112</v>
      </c>
      <c r="O13" s="11" t="s">
        <v>256</v>
      </c>
      <c r="P13" s="11" t="s">
        <v>214</v>
      </c>
      <c r="Q13" s="15" t="s">
        <v>8</v>
      </c>
      <c r="R13" s="19" t="s">
        <v>8</v>
      </c>
      <c r="S13" s="11" t="str" cm="1">
        <f t="array" ref="S13">_xlfn.LET(_xlpm.n,IFERROR(_xlfn.TEXTAFTER(R13,"/",-1),""),_xlpm.c,{"%20","%27","%28","%29","%2C","%C3%A9","%C3%A8","%C3%AA","%C3%A0","%C3%A2","%C3%A7","%C3%B4","%C3%AE","%C3%B9","%C3%BB","%C3%89","%C2%BA","%C2%B0"},_xlpm.r,{" ","'","(",")",",","é","è","ê","à","â","ç","ô","î","ù","û","É","º","°"},_xlfn.REDUCE(_xlpm.n,_xlfn.SEQUENCE(COLUMNS(_xlpm.c)),_xlfn.LAMBDA(_xlpm.a,_xlpm.i,SUBSTITUTE(_xlpm.a,INDEX(_xlpm.c,_xlpm.i),INDEX(_xlpm.r,_xlpm.i)))))</f>
        <v/>
      </c>
    </row>
    <row r="14" spans="1:19" ht="75" x14ac:dyDescent="0.25">
      <c r="A14" s="10">
        <v>2025</v>
      </c>
      <c r="B14" s="10" t="s">
        <v>13</v>
      </c>
      <c r="C14" s="10" t="s">
        <v>242</v>
      </c>
      <c r="D14" s="19" t="s">
        <v>28</v>
      </c>
      <c r="E14" s="11" t="str" cm="1">
        <f t="array" ref="E14">_xlfn.LET(_xlpm.n,IFERROR(_xlfn.TEXTAFTER(D14,"/",-1),""),_xlpm.c,{"%20","%27","%28","%29","%2C","%C3%A9","%C3%A8","%C3%AA","%C3%A0","%C3%A2","%C3%A7","%C3%B4","%C3%AE","%C3%B9","%C3%BB","%C3%89","%C2%BA","%C2%B0"},_xlpm.r,{" ","'","(",")",",","é","è","ê","à","â","ç","ô","î","ù","û","É","º","°"},_xlfn.REDUCE(_xlpm.n,_xlfn.SEQUENCE(COLUMNS(_xlpm.c)),_xlfn.LAMBDA(_xlpm.a,_xlpm.i,SUBSTITUTE(_xlpm.a,INDEX(_xlpm.c,_xlpm.i),INDEX(_xlpm.r,_xlpm.i)))))</f>
        <v>GEPP PV de désaccord mis à signature.pdf</v>
      </c>
      <c r="F14" s="12">
        <v>45930</v>
      </c>
      <c r="G14" s="13" t="b">
        <v>0</v>
      </c>
      <c r="H14" s="13" t="b">
        <v>0</v>
      </c>
      <c r="I14" s="13" t="b">
        <v>0</v>
      </c>
      <c r="J14" s="13" t="b">
        <v>0</v>
      </c>
      <c r="K14" s="13" t="str">
        <f t="shared" si="1"/>
        <v>-</v>
      </c>
      <c r="L14" s="19" t="s">
        <v>208</v>
      </c>
      <c r="M14" s="12" t="s">
        <v>82</v>
      </c>
      <c r="N14" s="11" t="s">
        <v>321</v>
      </c>
      <c r="O14" s="11" t="s">
        <v>257</v>
      </c>
      <c r="P14" s="11" t="s">
        <v>314</v>
      </c>
      <c r="Q14" s="15" t="s">
        <v>134</v>
      </c>
      <c r="R14" s="19" t="s">
        <v>43</v>
      </c>
      <c r="S14" s="11" t="str" cm="1">
        <f t="array" ref="S14">_xlfn.LET(_xlpm.n,IFERROR(_xlfn.TEXTAFTER(R14,"/",-1),""),_xlpm.c,{"%20","%27","%28","%29","%2C","%C3%A9","%C3%A8","%C3%AA","%C3%A0","%C3%A2","%C3%A7","%C3%B4","%C3%AE","%C3%B9","%C3%BB","%C3%89","%C2%BA","%C2%B0"},_xlpm.r,{" ","'","(",")",",","é","è","ê","à","â","ç","ô","î","ù","û","É","º","°"},_xlfn.REDUCE(_xlpm.n,_xlfn.SEQUENCE(COLUMNS(_xlpm.c)),_xlfn.LAMBDA(_xlpm.a,_xlpm.i,SUBSTITUTE(_xlpm.a,INDEX(_xlpm.c,_xlpm.i),INDEX(_xlpm.r,_xlpm.i)))))</f>
        <v>tract_rcc_2026.pdf</v>
      </c>
    </row>
    <row r="15" spans="1:19" ht="90" x14ac:dyDescent="0.25">
      <c r="A15" s="10">
        <v>2025</v>
      </c>
      <c r="B15" s="10" t="s">
        <v>13</v>
      </c>
      <c r="C15" s="10" t="s">
        <v>18</v>
      </c>
      <c r="D15" s="1" t="s">
        <v>25</v>
      </c>
      <c r="E15" s="11" t="str" cm="1">
        <f t="array" ref="E15">_xlfn.LET(_xlpm.n,IFERROR(_xlfn.TEXTAFTER(D15,"/",-1),""),_xlpm.c,{"%20","%27","%28","%29","%2C","%C3%A9","%C3%A8","%C3%AA","%C3%A0","%C3%A2","%C3%A7","%C3%B4","%C3%AE","%C3%B9","%C3%BB","%C3%89","%C2%BA","%C2%B0"},_xlpm.r,{" ","'","(",")",",","é","è","ê","à","â","ç","ô","î","ù","û","É","º","°"},_xlfn.REDUCE(_xlpm.n,_xlfn.SEQUENCE(COLUMNS(_xlpm.c)),_xlfn.LAMBDA(_xlpm.a,_xlpm.i,SUBSTITUTE(_xlpm.a,INDEX(_xlpm.c,_xlpm.i),INDEX(_xlpm.r,_xlpm.i)))))</f>
        <v>Accord CET (24 juillet 2025).pdf</v>
      </c>
      <c r="F15" s="12">
        <f>DATE(2025,7,24)</f>
        <v>45862</v>
      </c>
      <c r="G15" s="13" t="b">
        <f>IF(ISNUMBER(SEARCH("PV de désaccord",C15)),TRUE,IF(AND(B15="LAN",I15=TRUE),TRUE,IF(AND(B15="NPS",I15=TRUE,K15=TRUE),TRUE,_xlfn.LET(_xlpm.ok,COUNTIF(H15:J15,TRUE),_xlpm.av,COUNTIF(H15:J15,"À vérifier"),IF(_xlpm.ok&gt;=2,TRUE,IF(_xlpm.ok+_xlpm.av&gt;=2,"À vérifier",FALSE))))))</f>
        <v>1</v>
      </c>
      <c r="H15" s="13" t="b">
        <v>0</v>
      </c>
      <c r="I15" s="13" t="b">
        <v>1</v>
      </c>
      <c r="J15" s="13" t="b">
        <v>1</v>
      </c>
      <c r="K15" s="13" t="str">
        <f t="shared" si="1"/>
        <v>-</v>
      </c>
      <c r="L15" s="19" t="s">
        <v>71</v>
      </c>
      <c r="M15" s="12" t="s">
        <v>196</v>
      </c>
      <c r="N15" s="11" t="s">
        <v>113</v>
      </c>
      <c r="O15" s="11" t="s">
        <v>230</v>
      </c>
      <c r="P15" s="11" t="s">
        <v>318</v>
      </c>
      <c r="Q15" s="15" t="s">
        <v>8</v>
      </c>
      <c r="R15" s="19" t="s">
        <v>8</v>
      </c>
      <c r="S15" s="11" t="str" cm="1">
        <f t="array" ref="S15">_xlfn.LET(_xlpm.n,IFERROR(_xlfn.TEXTAFTER(R15,"/",-1),""),_xlpm.c,{"%20","%27","%28","%29","%2C","%C3%A9","%C3%A8","%C3%AA","%C3%A0","%C3%A2","%C3%A7","%C3%B4","%C3%AE","%C3%B9","%C3%BB","%C3%89","%C2%BA","%C2%B0"},_xlpm.r,{" ","'","(",")",",","é","è","ê","à","â","ç","ô","î","ù","û","É","º","°"},_xlfn.REDUCE(_xlpm.n,_xlfn.SEQUENCE(COLUMNS(_xlpm.c)),_xlfn.LAMBDA(_xlpm.a,_xlpm.i,SUBSTITUTE(_xlpm.a,INDEX(_xlpm.c,_xlpm.i),INDEX(_xlpm.r,_xlpm.i)))))</f>
        <v/>
      </c>
    </row>
    <row r="16" spans="1:19" ht="105" x14ac:dyDescent="0.25">
      <c r="A16" s="10">
        <v>2025</v>
      </c>
      <c r="B16" s="10" t="s">
        <v>13</v>
      </c>
      <c r="C16" s="10" t="s">
        <v>249</v>
      </c>
      <c r="D16" s="19" t="s">
        <v>248</v>
      </c>
      <c r="E16" s="11" t="s">
        <v>247</v>
      </c>
      <c r="F16" s="12">
        <f>DATE(2025,4,9)</f>
        <v>45756</v>
      </c>
      <c r="G16" s="13" t="b">
        <v>1</v>
      </c>
      <c r="H16" s="13" t="b">
        <v>1</v>
      </c>
      <c r="I16" s="13" t="b">
        <v>1</v>
      </c>
      <c r="J16" s="13" t="b">
        <v>1</v>
      </c>
      <c r="K16" s="13" t="s">
        <v>8</v>
      </c>
      <c r="L16" s="19" t="s">
        <v>278</v>
      </c>
      <c r="M16" s="12" t="s">
        <v>201</v>
      </c>
      <c r="N16" s="11" t="s">
        <v>322</v>
      </c>
      <c r="O16" s="11" t="s">
        <v>279</v>
      </c>
      <c r="P16" s="15" t="s">
        <v>323</v>
      </c>
      <c r="Q16" s="15" t="s">
        <v>8</v>
      </c>
      <c r="R16" s="19" t="s">
        <v>8</v>
      </c>
      <c r="S16" s="11" t="s">
        <v>8</v>
      </c>
    </row>
    <row r="17" spans="1:19" ht="45" x14ac:dyDescent="0.25">
      <c r="A17" s="10">
        <v>2025</v>
      </c>
      <c r="B17" s="10" t="s">
        <v>13</v>
      </c>
      <c r="C17" s="10" t="s">
        <v>146</v>
      </c>
      <c r="D17" s="19" t="s">
        <v>159</v>
      </c>
      <c r="E17" s="11" t="str" cm="1">
        <f t="array" ref="E17">_xlfn.LET(_xlpm.n,IFERROR(_xlfn.TEXTAFTER(D17,"/",-1),""),_xlpm.c,{"%20","%27","%28","%29","%2C","%C3%A9","%C3%A8","%C3%AA","%C3%A0","%C3%A2","%C3%A7","%C3%B4","%C3%AE","%C3%B9","%C3%BB","%C3%89","%C2%BA","%C2%B0"},_xlpm.r,{" ","'","(",")",",","é","è","ê","à","â","ç","ô","î","ù","û","É","º","°"},_xlfn.REDUCE(_xlpm.n,_xlfn.SEQUENCE(COLUMNS(_xlpm.c)),_xlfn.LAMBDA(_xlpm.a,_xlpm.i,SUBSTITUTE(_xlpm.a,INDEX(_xlpm.c,_xlpm.i),INDEX(_xlpm.r,_xlpm.i)))))</f>
        <v>Avenant frais de santé (9 avril 2025).pdf</v>
      </c>
      <c r="F17" s="12">
        <f>DATE(2025,4,9)</f>
        <v>45756</v>
      </c>
      <c r="G17" s="13" t="b">
        <f>IF(ISNUMBER(SEARCH("PV de désaccord",C17)),TRUE,IF(AND(B17="LAN",I17=TRUE),TRUE,IF(AND(B17="NPS",I17=TRUE,K17=TRUE),TRUE,_xlfn.LET(_xlpm.ok,COUNTIF(H17:J17,TRUE),_xlpm.av,COUNTIF(H17:J17,"À vérifier"),IF(_xlpm.ok&gt;=2,TRUE,IF(_xlpm.ok+_xlpm.av&gt;=2,"À vérifier",FALSE))))))</f>
        <v>1</v>
      </c>
      <c r="H17" s="13" t="b">
        <v>1</v>
      </c>
      <c r="I17" s="13" t="b">
        <v>1</v>
      </c>
      <c r="J17" s="13" t="b">
        <v>1</v>
      </c>
      <c r="K17" s="13" t="str">
        <f t="shared" ref="K17:K41" si="2">IF(OR(B17="NNF",B17="LAN"),"-",ISNUMBER(SEARCH("de la CFTC",M17)))</f>
        <v>-</v>
      </c>
      <c r="L17" s="19" t="s">
        <v>180</v>
      </c>
      <c r="M17" s="11" t="s">
        <v>197</v>
      </c>
      <c r="N17" s="11" t="s">
        <v>166</v>
      </c>
      <c r="O17" s="11" t="s">
        <v>219</v>
      </c>
      <c r="P17" s="11" t="s">
        <v>258</v>
      </c>
      <c r="Q17" s="15"/>
      <c r="R17" s="19"/>
      <c r="S17" s="11"/>
    </row>
    <row r="18" spans="1:19" ht="60" x14ac:dyDescent="0.25">
      <c r="A18" s="10">
        <v>2025</v>
      </c>
      <c r="B18" s="10" t="s">
        <v>13</v>
      </c>
      <c r="C18" s="10" t="s">
        <v>19</v>
      </c>
      <c r="D18" s="1" t="s">
        <v>104</v>
      </c>
      <c r="E18" s="11" t="str" cm="1">
        <f t="array" ref="E18">_xlfn.LET(_xlpm.n,IFERROR(_xlfn.TEXTAFTER(D18,"/",-1),""),_xlpm.c,{"%20","%27","%28","%29","%2C","%C3%A9","%C3%A8","%C3%AA","%C3%A0","%C3%A2","%C3%A7","%C3%B4","%C3%AE","%C3%B9","%C3%BB","%C3%89","%C2%BA","%C2%B0"},_xlpm.r,{" ","'","(",")",",","é","è","ê","à","â","ç","ô","î","ù","û","É","º","°"},_xlfn.REDUCE(_xlpm.n,_xlfn.SEQUENCE(COLUMNS(_xlpm.c)),_xlfn.LAMBDA(_xlpm.a,_xlpm.i,SUBSTITUTE(_xlpm.a,INDEX(_xlpm.c,_xlpm.i),INDEX(_xlpm.r,_xlpm.i)))))</f>
        <v>Accord d'intéressement 2025-2028.pdf</v>
      </c>
      <c r="F18" s="12">
        <v>45744</v>
      </c>
      <c r="G18" s="13" t="b">
        <f>IF(ISNUMBER(SEARCH("PV de désaccord",C18)),TRUE,IF(AND(B18="LAN",I18=TRUE),TRUE,IF(AND(B18="NPS",I18=TRUE,K18=TRUE),TRUE,_xlfn.LET(_xlpm.ok,COUNTIF(H18:J18,TRUE),_xlpm.av,COUNTIF(H18:J18,"À vérifier"),IF(_xlpm.ok&gt;=2,TRUE,IF(_xlpm.ok+_xlpm.av&gt;=2,"À vérifier",FALSE))))))</f>
        <v>1</v>
      </c>
      <c r="H18" s="13" t="b">
        <v>1</v>
      </c>
      <c r="I18" s="13" t="b">
        <v>1</v>
      </c>
      <c r="J18" s="13" t="b">
        <v>1</v>
      </c>
      <c r="K18" s="13" t="str">
        <f t="shared" si="2"/>
        <v>-</v>
      </c>
      <c r="L18" s="19" t="s">
        <v>72</v>
      </c>
      <c r="M18" s="12" t="s">
        <v>87</v>
      </c>
      <c r="N18" s="11" t="s">
        <v>114</v>
      </c>
      <c r="O18" s="11" t="s">
        <v>259</v>
      </c>
      <c r="P18" s="11" t="s">
        <v>234</v>
      </c>
      <c r="Q18" s="15" t="s">
        <v>8</v>
      </c>
      <c r="R18" s="19" t="s">
        <v>8</v>
      </c>
      <c r="S18" s="11" t="str" cm="1">
        <f t="array" ref="S18">_xlfn.LET(_xlpm.n,IFERROR(_xlfn.TEXTAFTER(R18,"/",-1),""),_xlpm.c,{"%20","%27","%28","%29","%2C","%C3%A9","%C3%A8","%C3%AA","%C3%A0","%C3%A2","%C3%A7","%C3%B4","%C3%AE","%C3%B9","%C3%BB","%C3%89","%C2%BA","%C2%B0"},_xlpm.r,{" ","'","(",")",",","é","è","ê","à","â","ç","ô","î","ù","û","É","º","°"},_xlfn.REDUCE(_xlpm.n,_xlfn.SEQUENCE(COLUMNS(_xlpm.c)),_xlfn.LAMBDA(_xlpm.a,_xlpm.i,SUBSTITUTE(_xlpm.a,INDEX(_xlpm.c,_xlpm.i),INDEX(_xlpm.r,_xlpm.i)))))</f>
        <v/>
      </c>
    </row>
    <row r="19" spans="1:19" ht="60" x14ac:dyDescent="0.25">
      <c r="A19" s="10">
        <v>2025</v>
      </c>
      <c r="B19" s="10" t="s">
        <v>13</v>
      </c>
      <c r="C19" s="10" t="s">
        <v>243</v>
      </c>
      <c r="D19" s="19" t="s">
        <v>39</v>
      </c>
      <c r="E19" s="11" t="str" cm="1">
        <f t="array" ref="E19">_xlfn.LET(_xlpm.n,IFERROR(_xlfn.TEXTAFTER(D19,"/",-1),""),_xlpm.c,{"%20","%27","%28","%29","%2C","%C3%A9","%C3%A8","%C3%AA","%C3%A0","%C3%A2","%C3%A7","%C3%B4","%C3%AE","%C3%B9","%C3%BB","%C3%89","%C2%BA","%C2%B0"},_xlpm.r,{" ","'","(",")",",","é","è","ê","à","â","ç","ô","î","ù","û","É","º","°"},_xlfn.REDUCE(_xlpm.n,_xlfn.SEQUENCE(COLUMNS(_xlpm.c)),_xlfn.LAMBDA(_xlpm.a,_xlpm.i,SUBSTITUTE(_xlpm.a,INDEX(_xlpm.c,_xlpm.i),INDEX(_xlpm.r,_xlpm.i)))))</f>
        <v>Procès verbal NAO (désaccord) 2025 (27 mars 2025).pdf</v>
      </c>
      <c r="F19" s="12">
        <v>45743</v>
      </c>
      <c r="G19" s="13" t="b">
        <v>0</v>
      </c>
      <c r="H19" s="13" t="b">
        <v>0</v>
      </c>
      <c r="I19" s="13" t="b">
        <v>1</v>
      </c>
      <c r="J19" s="13" t="b">
        <v>0</v>
      </c>
      <c r="K19" s="13" t="str">
        <f t="shared" si="2"/>
        <v>-</v>
      </c>
      <c r="L19" s="19" t="s">
        <v>209</v>
      </c>
      <c r="M19" s="12" t="s">
        <v>310</v>
      </c>
      <c r="N19" s="11" t="s">
        <v>311</v>
      </c>
      <c r="O19" s="11" t="s">
        <v>260</v>
      </c>
      <c r="P19" s="11" t="s">
        <v>235</v>
      </c>
      <c r="Q19" s="15" t="s">
        <v>135</v>
      </c>
      <c r="R19" s="19" t="s">
        <v>44</v>
      </c>
      <c r="S19" s="11" t="str" cm="1">
        <f t="array" ref="S19">_xlfn.LET(_xlpm.n,IFERROR(_xlfn.TEXTAFTER(R19,"/",-1),""),_xlpm.c,{"%20","%27","%28","%29","%2C","%C3%A9","%C3%A8","%C3%AA","%C3%A0","%C3%A2","%C3%A7","%C3%B4","%C3%AE","%C3%B9","%C3%BB","%C3%89","%C2%BA","%C2%B0"},_xlpm.r,{" ","'","(",")",",","é","è","ê","à","â","ç","ô","î","ù","û","É","º","°"},_xlfn.REDUCE(_xlpm.n,_xlfn.SEQUENCE(COLUMNS(_xlpm.c)),_xlfn.LAMBDA(_xlpm.a,_xlpm.i,SUBSTITUTE(_xlpm.a,INDEX(_xlpm.c,_xlpm.i),INDEX(_xlpm.r,_xlpm.i)))))</f>
        <v>tract-salaires-2025.pdf</v>
      </c>
    </row>
    <row r="20" spans="1:19" ht="75" x14ac:dyDescent="0.25">
      <c r="A20" s="10">
        <v>2025</v>
      </c>
      <c r="B20" s="10" t="s">
        <v>172</v>
      </c>
      <c r="C20" s="10" t="s">
        <v>144</v>
      </c>
      <c r="D20" s="19" t="s">
        <v>157</v>
      </c>
      <c r="E20" s="11" t="str" cm="1">
        <f t="array" ref="E20">_xlfn.LET(_xlpm.n,IFERROR(_xlfn.TEXTAFTER(D20,"/",-1),""),_xlpm.c,{"%20","%27","%28","%29","%2C","%C3%A9","%C3%A8","%C3%AA","%C3%A0","%C3%A2","%C3%A7","%C3%B4","%C3%AE","%C3%B9","%C3%BB","%C3%89","%C2%BA","%C2%B0"},_xlpm.r,{" ","'","(",")",",","é","è","ê","à","â","ç","ô","î","ù","û","É","º","°"},_xlfn.REDUCE(_xlpm.n,_xlfn.SEQUENCE(COLUMNS(_xlpm.c)),_xlfn.LAMBDA(_xlpm.a,_xlpm.i,SUBSTITUTE(_xlpm.a,INDEX(_xlpm.c,_xlpm.i),INDEX(_xlpm.r,_xlpm.i)))))</f>
        <v>Avenant Accord ARTT Lannion 20 03 2025.pdf</v>
      </c>
      <c r="F20" s="12">
        <f>DATE(2025,3,20)</f>
        <v>45736</v>
      </c>
      <c r="G20" s="13" t="b">
        <f>IF(ISNUMBER(SEARCH("PV de désaccord",C20)),TRUE,IF(AND(B20="LAN",I20=TRUE),TRUE,IF(AND(B20="NPS",I20=TRUE,K20=TRUE),TRUE,_xlfn.LET(_xlpm.ok,COUNTIF(H20:J20,TRUE),_xlpm.av,COUNTIF(H20:J20,"À vérifier"),IF(_xlpm.ok&gt;=2,TRUE,IF(_xlpm.ok+_xlpm.av&gt;=2,"À vérifier",FALSE))))))</f>
        <v>1</v>
      </c>
      <c r="H20" s="13" t="b">
        <v>0</v>
      </c>
      <c r="I20" s="13" t="b">
        <v>1</v>
      </c>
      <c r="J20" s="13" t="b">
        <v>0</v>
      </c>
      <c r="K20" s="13" t="str">
        <f t="shared" si="2"/>
        <v>-</v>
      </c>
      <c r="L20" s="19" t="s">
        <v>178</v>
      </c>
      <c r="M20" s="11" t="s">
        <v>198</v>
      </c>
      <c r="N20" s="11" t="s">
        <v>164</v>
      </c>
      <c r="O20" s="11" t="s">
        <v>261</v>
      </c>
      <c r="P20" s="11" t="s">
        <v>236</v>
      </c>
      <c r="Q20" s="15"/>
      <c r="R20" s="19"/>
      <c r="S20" s="11"/>
    </row>
    <row r="21" spans="1:19" ht="45" x14ac:dyDescent="0.25">
      <c r="A21" s="10">
        <v>2025</v>
      </c>
      <c r="B21" s="10" t="s">
        <v>172</v>
      </c>
      <c r="C21" s="10" t="s">
        <v>145</v>
      </c>
      <c r="D21" s="19" t="s">
        <v>158</v>
      </c>
      <c r="E21" s="11" t="str" cm="1">
        <f t="array" ref="E21">_xlfn.LET(_xlpm.n,IFERROR(_xlfn.TEXTAFTER(D21,"/",-1),""),_xlpm.c,{"%20","%27","%28","%29","%2C","%C3%A9","%C3%A8","%C3%AA","%C3%A0","%C3%A2","%C3%A7","%C3%B4","%C3%AE","%C3%B9","%C3%BB","%C3%89","%C2%BA","%C2%B0"},_xlpm.r,{" ","'","(",")",",","é","è","ê","à","â","ç","ô","î","ù","û","É","º","°"},_xlfn.REDUCE(_xlpm.n,_xlfn.SEQUENCE(COLUMNS(_xlpm.c)),_xlfn.LAMBDA(_xlpm.a,_xlpm.i,SUBSTITUTE(_xlpm.a,INDEX(_xlpm.c,_xlpm.i),INDEX(_xlpm.r,_xlpm.i)))))</f>
        <v>Avenant Accord Horaire Variable Lannion 20 03 2025.pdf</v>
      </c>
      <c r="F21" s="12">
        <f>DATE(2025,3,20)</f>
        <v>45736</v>
      </c>
      <c r="G21" s="13" t="b">
        <f>IF(ISNUMBER(SEARCH("PV de désaccord",C21)),TRUE,IF(AND(B21="LAN",I21=TRUE),TRUE,IF(AND(B21="NPS",I21=TRUE,K21=TRUE),TRUE,_xlfn.LET(_xlpm.ok,COUNTIF(H21:J21,TRUE),_xlpm.av,COUNTIF(H21:J21,"À vérifier"),IF(_xlpm.ok&gt;=2,TRUE,IF(_xlpm.ok+_xlpm.av&gt;=2,"À vérifier",FALSE))))))</f>
        <v>1</v>
      </c>
      <c r="H21" s="13" t="b">
        <v>0</v>
      </c>
      <c r="I21" s="13" t="b">
        <v>1</v>
      </c>
      <c r="J21" s="13" t="b">
        <v>0</v>
      </c>
      <c r="K21" s="13" t="str">
        <f t="shared" si="2"/>
        <v>-</v>
      </c>
      <c r="L21" s="19" t="s">
        <v>179</v>
      </c>
      <c r="M21" s="11" t="s">
        <v>199</v>
      </c>
      <c r="N21" s="11" t="s">
        <v>165</v>
      </c>
      <c r="O21" s="11" t="s">
        <v>224</v>
      </c>
      <c r="P21" s="11" t="s">
        <v>223</v>
      </c>
      <c r="Q21" s="15"/>
      <c r="R21" s="19"/>
      <c r="S21" s="11"/>
    </row>
    <row r="22" spans="1:19" ht="90" x14ac:dyDescent="0.25">
      <c r="A22" s="10">
        <v>2025</v>
      </c>
      <c r="B22" s="10" t="s">
        <v>13</v>
      </c>
      <c r="C22" s="10" t="s">
        <v>56</v>
      </c>
      <c r="D22" s="19" t="s">
        <v>105</v>
      </c>
      <c r="E22" s="11" t="str" cm="1">
        <f t="array" ref="E22">_xlfn.LET(_xlpm.n,IFERROR(_xlfn.TEXTAFTER(D22,"/",-1),""),_xlpm.c,{"%20","%27","%28","%29","%2C","%C3%A9","%C3%A8","%C3%AA","%C3%A0","%C3%A2","%C3%A7","%C3%B4","%C3%AE","%C3%B9","%C3%BB","%C3%89","%C2%BA","%C2%B0"},_xlpm.r,{" ","'","(",")",",","é","è","ê","à","â","ç","ô","î","ù","û","É","º","°"},_xlfn.REDUCE(_xlpm.n,_xlfn.SEQUENCE(COLUMNS(_xlpm.c)),_xlfn.LAMBDA(_xlpm.a,_xlpm.i,SUBSTITUTE(_xlpm.a,INDEX(_xlpm.c,_xlpm.i),INDEX(_xlpm.r,_xlpm.i)))))</f>
        <v>Avenant accord télétravail avril 2022.pdf</v>
      </c>
      <c r="F22" s="12">
        <v>45712</v>
      </c>
      <c r="G22" s="13" t="b">
        <f>IF(ISNUMBER(SEARCH("PV de désaccord",C22)),TRUE,IF(AND(B22="LAN",I22=TRUE),TRUE,IF(AND(B22="NPS",I22=TRUE,K22=TRUE),TRUE,_xlfn.LET(_xlpm.ok,COUNTIF(H22:J22,TRUE),_xlpm.av,COUNTIF(H22:J22,"À vérifier"),IF(_xlpm.ok&gt;=2,TRUE,IF(_xlpm.ok+_xlpm.av&gt;=2,"À vérifier",FALSE))))))</f>
        <v>1</v>
      </c>
      <c r="H22" s="13" t="b">
        <v>0</v>
      </c>
      <c r="I22" s="13" t="b">
        <v>1</v>
      </c>
      <c r="J22" s="13" t="b">
        <v>1</v>
      </c>
      <c r="K22" s="13" t="str">
        <f t="shared" si="2"/>
        <v>-</v>
      </c>
      <c r="L22" s="19" t="s">
        <v>73</v>
      </c>
      <c r="M22" s="12" t="s">
        <v>191</v>
      </c>
      <c r="N22" s="11" t="s">
        <v>115</v>
      </c>
      <c r="O22" s="11" t="s">
        <v>262</v>
      </c>
      <c r="P22" s="11" t="s">
        <v>263</v>
      </c>
      <c r="Q22" s="15" t="s">
        <v>136</v>
      </c>
      <c r="R22" s="19" t="s">
        <v>45</v>
      </c>
      <c r="S22" s="11" t="str" cm="1">
        <f t="array" ref="S22">_xlfn.LET(_xlpm.n,IFERROR(_xlfn.TEXTAFTER(R22,"/",-1),""),_xlpm.c,{"%20","%27","%28","%29","%2C","%C3%A9","%C3%A8","%C3%AA","%C3%A0","%C3%A2","%C3%A7","%C3%B4","%C3%AE","%C3%B9","%C3%BB","%C3%89","%C2%BA","%C2%B0"},_xlpm.r,{" ","'","(",")",",","é","è","ê","à","â","ç","ô","î","ù","û","É","º","°"},_xlfn.REDUCE(_xlpm.n,_xlfn.SEQUENCE(COLUMNS(_xlpm.c)),_xlfn.LAMBDA(_xlpm.a,_xlpm.i,SUBSTITUTE(_xlpm.a,INDEX(_xlpm.c,_xlpm.i),INDEX(_xlpm.r,_xlpm.i)))))</f>
        <v>tract-avenant-TL-v2.pdf</v>
      </c>
    </row>
    <row r="23" spans="1:19" ht="30" x14ac:dyDescent="0.25">
      <c r="A23" s="10">
        <v>2025</v>
      </c>
      <c r="B23" s="10" t="s">
        <v>14</v>
      </c>
      <c r="C23" s="10" t="s">
        <v>57</v>
      </c>
      <c r="D23" s="19" t="s">
        <v>95</v>
      </c>
      <c r="E23" s="10" t="str" cm="1">
        <f t="array" ref="E23">_xlfn.LET(_xlpm.n,IFERROR(_xlfn.TEXTAFTER(D23,"/",-1),""),_xlpm.c,{"%20","%27","%28","%29","%2C","%C3%A9","%C3%A8","%C3%AA","%C3%A0","%C3%A2","%C3%A7","%C3%B4","%C3%AE","%C3%B9","%C3%BB","%C3%89","%C2%BA","%C2%B0"},_xlpm.r,{" ","'","(",")",",","é","è","ê","à","â","ç","ô","î","ù","û","É","º","°"},_xlfn.REDUCE(_xlpm.n,_xlfn.SEQUENCE(COLUMNS(_xlpm.c)),_xlfn.LAMBDA(_xlpm.a,_xlpm.i,SUBSTITUTE(_xlpm.a,INDEX(_xlpm.c,_xlpm.i),INDEX(_xlpm.r,_xlpm.i)))))</f>
        <v>Accord 2025 NPS - aménagement temps de travail (20 janvier 2025).pdf</v>
      </c>
      <c r="F23" s="14">
        <v>45677</v>
      </c>
      <c r="G23" s="13" t="b">
        <f>IF(ISNUMBER(SEARCH("PV de désaccord",C23)),TRUE,IF(AND(B23="LAN",I23=TRUE),TRUE,IF(AND(B23="NPS",I23=TRUE,K23=TRUE),TRUE,_xlfn.LET(_xlpm.ok,COUNTIF(H23:J23,TRUE),_xlpm.av,COUNTIF(H23:J23,"À vérifier"),IF(_xlpm.ok&gt;=2,TRUE,IF(_xlpm.ok+_xlpm.av&gt;=2,"À vérifier",FALSE))))))</f>
        <v>1</v>
      </c>
      <c r="H23" s="13" t="b">
        <v>1</v>
      </c>
      <c r="I23" s="13" t="b">
        <v>1</v>
      </c>
      <c r="J23" s="13" t="b">
        <v>1</v>
      </c>
      <c r="K23" s="13" t="b">
        <f t="shared" si="2"/>
        <v>1</v>
      </c>
      <c r="L23" s="19" t="s">
        <v>175</v>
      </c>
      <c r="M23" s="14" t="s">
        <v>200</v>
      </c>
      <c r="N23" s="10" t="s">
        <v>116</v>
      </c>
      <c r="O23" s="10"/>
      <c r="P23" s="10" t="s">
        <v>253</v>
      </c>
      <c r="Q23" s="16" t="s">
        <v>8</v>
      </c>
      <c r="R23" s="19" t="s">
        <v>8</v>
      </c>
      <c r="S23" s="10" t="str" cm="1">
        <f t="array" ref="S23">_xlfn.LET(_xlpm.n,IFERROR(_xlfn.TEXTAFTER(R23,"/",-1),""),_xlpm.c,{"%20","%27","%28","%29","%2C","%C3%A9","%C3%A8","%C3%AA","%C3%A0","%C3%A2","%C3%A7","%C3%B4","%C3%AE","%C3%B9","%C3%BB","%C3%89","%C2%BA","%C2%B0"},_xlpm.r,{" ","'","(",")",",","é","è","ê","à","â","ç","ô","î","ù","û","É","º","°"},_xlfn.REDUCE(_xlpm.n,_xlfn.SEQUENCE(COLUMNS(_xlpm.c)),_xlfn.LAMBDA(_xlpm.a,_xlpm.i,SUBSTITUTE(_xlpm.a,INDEX(_xlpm.c,_xlpm.i),INDEX(_xlpm.r,_xlpm.i)))))</f>
        <v/>
      </c>
    </row>
    <row r="24" spans="1:19" ht="45" x14ac:dyDescent="0.25">
      <c r="A24" s="10">
        <v>2024</v>
      </c>
      <c r="B24" s="10" t="s">
        <v>13</v>
      </c>
      <c r="C24" s="10" t="s">
        <v>6</v>
      </c>
      <c r="D24" s="19" t="s">
        <v>37</v>
      </c>
      <c r="E24" s="11" t="str" cm="1">
        <f t="array" ref="E24">_xlfn.LET(_xlpm.n,IFERROR(_xlfn.TEXTAFTER(D24,"/",-1),""),_xlpm.c,{"%20","%27","%28","%29","%2C","%C3%A9","%C3%A8","%C3%AA","%C3%A0","%C3%A2","%C3%A7","%C3%B4","%C3%AE","%C3%B9","%C3%BB","%C3%89","%C2%BA","%C2%B0"},_xlpm.r,{" ","'","(",")",",","é","è","ê","à","â","ç","ô","î","ù","û","É","º","°"},_xlfn.REDUCE(_xlpm.n,_xlfn.SEQUENCE(COLUMNS(_xlpm.c)),_xlfn.LAMBDA(_xlpm.a,_xlpm.i,SUBSTITUTE(_xlpm.a,INDEX(_xlpm.c,_xlpm.i),INDEX(_xlpm.r,_xlpm.i)))))</f>
        <v>Accord don de jours 14 novembre 2024.pdf</v>
      </c>
      <c r="F24" s="12">
        <v>45610</v>
      </c>
      <c r="G24" s="13" t="b">
        <f>IF(ISNUMBER(SEARCH("PV de désaccord",C24)),TRUE,IF(AND(B24="LAN",I24=TRUE),TRUE,IF(AND(B24="NPS",I24=TRUE,K24=TRUE),TRUE,_xlfn.LET(_xlpm.ok,COUNTIF(H24:J24,TRUE),_xlpm.av,COUNTIF(H24:J24,"À vérifier"),IF(_xlpm.ok&gt;=2,TRUE,IF(_xlpm.ok+_xlpm.av&gt;=2,"À vérifier",FALSE))))))</f>
        <v>1</v>
      </c>
      <c r="H24" s="13" t="b">
        <v>1</v>
      </c>
      <c r="I24" s="13" t="b">
        <v>1</v>
      </c>
      <c r="J24" s="13" t="b">
        <v>1</v>
      </c>
      <c r="K24" s="13" t="str">
        <f t="shared" si="2"/>
        <v>-</v>
      </c>
      <c r="L24" s="19" t="s">
        <v>74</v>
      </c>
      <c r="M24" s="12" t="s">
        <v>186</v>
      </c>
      <c r="N24" s="11" t="s">
        <v>117</v>
      </c>
      <c r="O24" s="11" t="s">
        <v>264</v>
      </c>
      <c r="P24" s="11" t="s">
        <v>215</v>
      </c>
      <c r="Q24" s="15" t="s">
        <v>8</v>
      </c>
      <c r="R24" s="19" t="s">
        <v>8</v>
      </c>
      <c r="S24" s="11" t="str" cm="1">
        <f t="array" ref="S24">_xlfn.LET(_xlpm.n,IFERROR(_xlfn.TEXTAFTER(R24,"/",-1),""),_xlpm.c,{"%20","%27","%28","%29","%2C","%C3%A9","%C3%A8","%C3%AA","%C3%A0","%C3%A2","%C3%A7","%C3%B4","%C3%AE","%C3%B9","%C3%BB","%C3%89","%C2%BA","%C2%B0"},_xlpm.r,{" ","'","(",")",",","é","è","ê","à","â","ç","ô","î","ù","û","É","º","°"},_xlfn.REDUCE(_xlpm.n,_xlfn.SEQUENCE(COLUMNS(_xlpm.c)),_xlfn.LAMBDA(_xlpm.a,_xlpm.i,SUBSTITUTE(_xlpm.a,INDEX(_xlpm.c,_xlpm.i),INDEX(_xlpm.r,_xlpm.i)))))</f>
        <v/>
      </c>
    </row>
    <row r="25" spans="1:19" ht="105" x14ac:dyDescent="0.25">
      <c r="A25" s="10">
        <v>2024</v>
      </c>
      <c r="B25" s="10" t="s">
        <v>13</v>
      </c>
      <c r="C25" s="10" t="s">
        <v>244</v>
      </c>
      <c r="D25" s="19" t="s">
        <v>96</v>
      </c>
      <c r="E25" s="11" t="str" cm="1">
        <f t="array" ref="E25">_xlfn.LET(_xlpm.n,IFERROR(_xlfn.TEXTAFTER(D25,"/",-1),""),_xlpm.c,{"%20","%27","%28","%29","%2C","%C3%A9","%C3%A8","%C3%AA","%C3%A0","%C3%A2","%C3%A7","%C3%B4","%C3%AE","%C3%B9","%C3%BB","%C3%89","%C2%BA","%C2%B0"},_xlpm.r,{" ","'","(",")",",","é","è","ê","à","â","ç","ô","î","ù","û","É","º","°"},_xlfn.REDUCE(_xlpm.n,_xlfn.SEQUENCE(COLUMNS(_xlpm.c)),_xlfn.LAMBDA(_xlpm.a,_xlpm.i,SUBSTITUTE(_xlpm.a,INDEX(_xlpm.c,_xlpm.i),INDEX(_xlpm.r,_xlpm.i)))))</f>
        <v>PV désaccord Partage de la valeur VS.pdf</v>
      </c>
      <c r="F25" s="12">
        <v>45538</v>
      </c>
      <c r="G25" s="13" t="b">
        <v>0</v>
      </c>
      <c r="H25" s="13" t="b">
        <v>0</v>
      </c>
      <c r="I25" s="13" t="b">
        <v>0</v>
      </c>
      <c r="J25" s="13" t="b">
        <v>0</v>
      </c>
      <c r="K25" s="13" t="str">
        <f t="shared" si="2"/>
        <v>-</v>
      </c>
      <c r="L25" s="19" t="s">
        <v>210</v>
      </c>
      <c r="M25" s="12" t="s">
        <v>82</v>
      </c>
      <c r="N25" s="11" t="s">
        <v>324</v>
      </c>
      <c r="O25" s="11" t="s">
        <v>231</v>
      </c>
      <c r="P25" s="11" t="s">
        <v>325</v>
      </c>
      <c r="Q25" s="15" t="s">
        <v>8</v>
      </c>
      <c r="R25" s="19" t="s">
        <v>8</v>
      </c>
      <c r="S25" s="11" t="str" cm="1">
        <f t="array" ref="S25">_xlfn.LET(_xlpm.n,IFERROR(_xlfn.TEXTAFTER(R25,"/",-1),""),_xlpm.c,{"%20","%27","%28","%29","%2C","%C3%A9","%C3%A8","%C3%AA","%C3%A0","%C3%A2","%C3%A7","%C3%B4","%C3%AE","%C3%B9","%C3%BB","%C3%89","%C2%BA","%C2%B0"},_xlpm.r,{" ","'","(",")",",","é","è","ê","à","â","ç","ô","î","ù","û","É","º","°"},_xlfn.REDUCE(_xlpm.n,_xlfn.SEQUENCE(COLUMNS(_xlpm.c)),_xlfn.LAMBDA(_xlpm.a,_xlpm.i,SUBSTITUTE(_xlpm.a,INDEX(_xlpm.c,_xlpm.i),INDEX(_xlpm.r,_xlpm.i)))))</f>
        <v/>
      </c>
    </row>
    <row r="26" spans="1:19" ht="90" x14ac:dyDescent="0.25">
      <c r="A26" s="10">
        <v>2024</v>
      </c>
      <c r="B26" s="10" t="s">
        <v>14</v>
      </c>
      <c r="C26" s="10" t="s">
        <v>7</v>
      </c>
      <c r="D26" s="19" t="s">
        <v>33</v>
      </c>
      <c r="E26" s="11" t="str" cm="1">
        <f t="array" ref="E26">_xlfn.LET(_xlpm.n,IFERROR(_xlfn.TEXTAFTER(D26,"/",-1),""),_xlpm.c,{"%20","%27","%28","%29","%2C","%C3%A9","%C3%A8","%C3%AA","%C3%A0","%C3%A2","%C3%A7","%C3%B4","%C3%AE","%C3%B9","%C3%BB","%C3%89","%C2%BA","%C2%B0"},_xlpm.r,{" ","'","(",")",",","é","è","ê","à","â","ç","ô","î","ù","û","É","º","°"},_xlfn.REDUCE(_xlpm.n,_xlfn.SEQUENCE(COLUMNS(_xlpm.c)),_xlfn.LAMBDA(_xlpm.a,_xlpm.i,SUBSTITUTE(_xlpm.a,INDEX(_xlpm.c,_xlpm.i),INDEX(_xlpm.r,_xlpm.i)))))</f>
        <v>Accord RCC 2024 (19 avril 2024).pdf</v>
      </c>
      <c r="F26" s="12">
        <v>45401</v>
      </c>
      <c r="G26" s="13" t="b">
        <f>IF(ISNUMBER(SEARCH("PV de désaccord",C26)),TRUE,IF(AND(B26="LAN",I26=TRUE),TRUE,IF(AND(B26="NPS",I26=TRUE,K26=TRUE),TRUE,_xlfn.LET(_xlpm.ok,COUNTIF(H26:J26,TRUE),_xlpm.av,COUNTIF(H26:J26,"À vérifier"),IF(_xlpm.ok&gt;=2,TRUE,IF(_xlpm.ok+_xlpm.av&gt;=2,"À vérifier",FALSE))))))</f>
        <v>1</v>
      </c>
      <c r="H26" s="13" t="b">
        <v>1</v>
      </c>
      <c r="I26" s="13" t="b">
        <v>1</v>
      </c>
      <c r="J26" s="13" t="b">
        <v>1</v>
      </c>
      <c r="K26" s="13" t="b">
        <f t="shared" si="2"/>
        <v>1</v>
      </c>
      <c r="L26" s="19" t="s">
        <v>75</v>
      </c>
      <c r="M26" s="12" t="s">
        <v>85</v>
      </c>
      <c r="N26" s="11" t="s">
        <v>118</v>
      </c>
      <c r="O26" s="11" t="s">
        <v>317</v>
      </c>
      <c r="P26" s="11" t="s">
        <v>316</v>
      </c>
      <c r="Q26" s="15" t="s">
        <v>137</v>
      </c>
      <c r="R26" s="19" t="s">
        <v>46</v>
      </c>
      <c r="S26" s="11" t="str" cm="1">
        <f t="array" ref="S26">_xlfn.LET(_xlpm.n,IFERROR(_xlfn.TEXTAFTER(R26,"/",-1),""),_xlpm.c,{"%20","%27","%28","%29","%2C","%C3%A9","%C3%A8","%C3%AA","%C3%A0","%C3%A2","%C3%A7","%C3%B4","%C3%AE","%C3%B9","%C3%BB","%C3%89","%C2%BA","%C2%B0"},_xlpm.r,{" ","'","(",")",",","é","è","ê","à","â","ç","ô","î","ù","û","É","º","°"},_xlfn.REDUCE(_xlpm.n,_xlfn.SEQUENCE(COLUMNS(_xlpm.c)),_xlfn.LAMBDA(_xlpm.a,_xlpm.i,SUBSTITUTE(_xlpm.a,INDEX(_xlpm.c,_xlpm.i),INDEX(_xlpm.r,_xlpm.i)))))</f>
        <v>tract_bilan_rcc24_v4.pdf</v>
      </c>
    </row>
    <row r="27" spans="1:19" ht="90" x14ac:dyDescent="0.25">
      <c r="A27" s="10">
        <v>2024</v>
      </c>
      <c r="B27" s="10" t="s">
        <v>13</v>
      </c>
      <c r="C27" s="10" t="s">
        <v>245</v>
      </c>
      <c r="D27" s="19" t="s">
        <v>38</v>
      </c>
      <c r="E27" s="11" t="str" cm="1">
        <f t="array" ref="E27">_xlfn.LET(_xlpm.n,IFERROR(_xlfn.TEXTAFTER(D27,"/",-1),""),_xlpm.c,{"%20","%27","%28","%29","%2C","%C3%A9","%C3%A8","%C3%AA","%C3%A0","%C3%A2","%C3%A7","%C3%B4","%C3%AE","%C3%B9","%C3%BB","%C3%89","%C2%BA","%C2%B0"},_xlpm.r,{" ","'","(",")",",","é","è","ê","à","â","ç","ô","î","ù","û","É","º","°"},_xlfn.REDUCE(_xlpm.n,_xlfn.SEQUENCE(COLUMNS(_xlpm.c)),_xlfn.LAMBDA(_xlpm.a,_xlpm.i,SUBSTITUTE(_xlpm.a,INDEX(_xlpm.c,_xlpm.i),INDEX(_xlpm.r,_xlpm.i)))))</f>
        <v>Avenant Procès-verbal de désaccord NAO 2024 (9 avril 2024).pdf</v>
      </c>
      <c r="F27" s="12">
        <f>DATE(2024,4,9)</f>
        <v>45391</v>
      </c>
      <c r="G27" s="13" t="b">
        <v>0</v>
      </c>
      <c r="H27" s="13" t="b">
        <v>0</v>
      </c>
      <c r="I27" s="13" t="b">
        <v>0</v>
      </c>
      <c r="J27" s="13" t="b">
        <v>0</v>
      </c>
      <c r="K27" s="13" t="str">
        <f t="shared" si="2"/>
        <v>-</v>
      </c>
      <c r="L27" s="19" t="s">
        <v>211</v>
      </c>
      <c r="M27" s="12" t="s">
        <v>82</v>
      </c>
      <c r="N27" s="11" t="s">
        <v>265</v>
      </c>
      <c r="O27" s="11" t="s">
        <v>266</v>
      </c>
      <c r="P27" s="11" t="s">
        <v>237</v>
      </c>
      <c r="Q27" s="15" t="s">
        <v>139</v>
      </c>
      <c r="R27" s="19" t="s">
        <v>98</v>
      </c>
      <c r="S27" s="11" t="str" cm="1">
        <f t="array" ref="S27">_xlfn.LET(_xlpm.n,IFERROR(_xlfn.TEXTAFTER(R27,"/",-1),""),_xlpm.c,{"%20","%27","%28","%29","%2C","%C3%A9","%C3%A8","%C3%AA","%C3%A0","%C3%A2","%C3%A7","%C3%B4","%C3%AE","%C3%B9","%C3%BB","%C3%89","%C2%BA","%C2%B0"},_xlpm.r,{" ","'","(",")",",","é","è","ê","à","â","ç","ô","î","ù","û","É","º","°"},_xlfn.REDUCE(_xlpm.n,_xlfn.SEQUENCE(COLUMNS(_xlpm.c)),_xlfn.LAMBDA(_xlpm.a,_xlpm.i,SUBSTITUTE(_xlpm.a,INDEX(_xlpm.c,_xlpm.i),INDEX(_xlpm.r,_xlpm.i)))))</f>
        <v>tract_retour_salaires_2024_v1.pdf</v>
      </c>
    </row>
    <row r="28" spans="1:19" ht="47.25" customHeight="1" x14ac:dyDescent="0.25">
      <c r="A28" s="10">
        <v>2024</v>
      </c>
      <c r="B28" s="10" t="s">
        <v>13</v>
      </c>
      <c r="C28" s="10" t="s">
        <v>20</v>
      </c>
      <c r="D28" s="19" t="s">
        <v>34</v>
      </c>
      <c r="E28" s="11" t="str" cm="1">
        <f t="array" ref="E28">_xlfn.LET(_xlpm.n,IFERROR(_xlfn.TEXTAFTER(D28,"/",-1),""),_xlpm.c,{"%20","%27","%28","%29","%2C","%C3%A9","%C3%A8","%C3%AA","%C3%A0","%C3%A2","%C3%A7","%C3%B4","%C3%AE","%C3%B9","%C3%BB","%C3%89","%C2%BA","%C2%B0"},_xlpm.r,{" ","'","(",")",",","é","è","ê","à","â","ç","ô","î","ù","û","É","º","°"},_xlfn.REDUCE(_xlpm.n,_xlfn.SEQUENCE(COLUMNS(_xlpm.c)),_xlfn.LAMBDA(_xlpm.a,_xlpm.i,SUBSTITUTE(_xlpm.a,INDEX(_xlpm.c,_xlpm.i),INDEX(_xlpm.r,_xlpm.i)))))</f>
        <v>Accord CGF.pdf</v>
      </c>
      <c r="F28" s="12">
        <v>45366</v>
      </c>
      <c r="G28" s="13" t="b">
        <f t="shared" ref="G28:G35" si="3">IF(ISNUMBER(SEARCH("PV de désaccord",C28)),TRUE,IF(AND(B28="LAN",I28=TRUE),TRUE,IF(AND(B28="NPS",I28=TRUE,K28=TRUE),TRUE,_xlfn.LET(_xlpm.ok,COUNTIF(H28:J28,TRUE),_xlpm.av,COUNTIF(H28:J28,"À vérifier"),IF(_xlpm.ok&gt;=2,TRUE,IF(_xlpm.ok+_xlpm.av&gt;=2,"À vérifier",FALSE))))))</f>
        <v>1</v>
      </c>
      <c r="H28" s="13" t="b">
        <v>1</v>
      </c>
      <c r="I28" s="13" t="b">
        <v>1</v>
      </c>
      <c r="J28" s="13" t="b">
        <v>1</v>
      </c>
      <c r="K28" s="13" t="str">
        <f t="shared" si="2"/>
        <v>-</v>
      </c>
      <c r="L28" s="19" t="s">
        <v>61</v>
      </c>
      <c r="M28" s="12" t="s">
        <v>80</v>
      </c>
      <c r="N28" s="11" t="s">
        <v>91</v>
      </c>
      <c r="O28" s="11" t="s">
        <v>267</v>
      </c>
      <c r="P28" s="17" t="s">
        <v>216</v>
      </c>
      <c r="Q28" s="15" t="s">
        <v>8</v>
      </c>
      <c r="R28" s="19" t="s">
        <v>8</v>
      </c>
      <c r="S28" s="11" t="str" cm="1">
        <f t="array" ref="S28">_xlfn.LET(_xlpm.n,IFERROR(_xlfn.TEXTAFTER(R28,"/",-1),""),_xlpm.c,{"%20","%27","%28","%29","%2C","%C3%A9","%C3%A8","%C3%AA","%C3%A0","%C3%A2","%C3%A7","%C3%B4","%C3%AE","%C3%B9","%C3%BB","%C3%89","%C2%BA","%C2%B0"},_xlpm.r,{" ","'","(",")",",","é","è","ê","à","â","ç","ô","î","ù","û","É","º","°"},_xlfn.REDUCE(_xlpm.n,_xlfn.SEQUENCE(COLUMNS(_xlpm.c)),_xlfn.LAMBDA(_xlpm.a,_xlpm.i,SUBSTITUTE(_xlpm.a,INDEX(_xlpm.c,_xlpm.i),INDEX(_xlpm.r,_xlpm.i)))))</f>
        <v/>
      </c>
    </row>
    <row r="29" spans="1:19" ht="52.5" customHeight="1" x14ac:dyDescent="0.25">
      <c r="A29" s="10">
        <v>2024</v>
      </c>
      <c r="B29" s="10" t="s">
        <v>172</v>
      </c>
      <c r="C29" s="10" t="s">
        <v>148</v>
      </c>
      <c r="D29" s="19" t="s">
        <v>154</v>
      </c>
      <c r="E29" s="11" t="str" cm="1">
        <f t="array" ref="E29">_xlfn.LET(_xlpm.n,IFERROR(_xlfn.TEXTAFTER(D29,"/",-1),""),_xlpm.c,{"%20","%27","%28","%29","%2C","%C3%A9","%C3%A8","%C3%AA","%C3%A0","%C3%A2","%C3%A7","%C3%B4","%C3%AE","%C3%B9","%C3%BB","%C3%89","%C2%BA","%C2%B0"},_xlpm.r,{" ","'","(",")",",","é","è","ê","à","â","ç","ô","î","ù","û","É","º","°"},_xlfn.REDUCE(_xlpm.n,_xlfn.SEQUENCE(COLUMNS(_xlpm.c)),_xlfn.LAMBDA(_xlpm.a,_xlpm.i,SUBSTITUTE(_xlpm.a,INDEX(_xlpm.c,_xlpm.i),INDEX(_xlpm.r,_xlpm.i)))))</f>
        <v>Accord Etablissement NNF Lannion Mise en place accord cadre nouvelle CCN du 7 mars 2024.pdf</v>
      </c>
      <c r="F29" s="12">
        <f>DATE(2024,3,7)</f>
        <v>45358</v>
      </c>
      <c r="G29" s="13" t="b">
        <f t="shared" si="3"/>
        <v>1</v>
      </c>
      <c r="H29" s="13" t="b">
        <v>1</v>
      </c>
      <c r="I29" s="13" t="b">
        <v>1</v>
      </c>
      <c r="J29" s="13" t="b">
        <v>1</v>
      </c>
      <c r="K29" s="13" t="str">
        <f t="shared" si="2"/>
        <v>-</v>
      </c>
      <c r="L29" s="19" t="s">
        <v>182</v>
      </c>
      <c r="M29" s="11" t="s">
        <v>201</v>
      </c>
      <c r="N29" s="11" t="s">
        <v>168</v>
      </c>
      <c r="O29" s="11" t="s">
        <v>225</v>
      </c>
      <c r="P29" s="17" t="s">
        <v>238</v>
      </c>
      <c r="Q29" s="15"/>
      <c r="R29" s="19"/>
      <c r="S29" s="11"/>
    </row>
    <row r="30" spans="1:19" ht="63" customHeight="1" x14ac:dyDescent="0.25">
      <c r="A30" s="10">
        <v>2024</v>
      </c>
      <c r="B30" s="10" t="s">
        <v>14</v>
      </c>
      <c r="C30" s="10" t="s">
        <v>58</v>
      </c>
      <c r="D30" s="19" t="s">
        <v>26</v>
      </c>
      <c r="E30" s="11" t="str" cm="1">
        <f t="array" ref="E30">_xlfn.LET(_xlpm.n,IFERROR(_xlfn.TEXTAFTER(D30,"/",-1),""),_xlpm.c,{"%20","%27","%28","%29","%2C","%C3%A9","%C3%A8","%C3%AA","%C3%A0","%C3%A2","%C3%A7","%C3%B4","%C3%AE","%C3%B9","%C3%BB","%C3%89","%C2%BA","%C2%B0"},_xlpm.r,{" ","'","(",")",",","é","è","ê","à","â","ç","ô","î","ù","û","É","º","°"},_xlfn.REDUCE(_xlpm.n,_xlfn.SEQUENCE(COLUMNS(_xlpm.c)),_xlfn.LAMBDA(_xlpm.a,_xlpm.i,SUBSTITUTE(_xlpm.a,INDEX(_xlpm.c,_xlpm.i),INDEX(_xlpm.r,_xlpm.i)))))</f>
        <v>Accord cadre NPS nouvelle convention collective- 2024 signé.pdf</v>
      </c>
      <c r="F30" s="12">
        <f>DATE(2024,2,29)</f>
        <v>45351</v>
      </c>
      <c r="G30" s="13" t="b">
        <f t="shared" si="3"/>
        <v>1</v>
      </c>
      <c r="H30" s="13" t="b">
        <v>1</v>
      </c>
      <c r="I30" s="13" t="b">
        <v>1</v>
      </c>
      <c r="J30" s="13" t="b">
        <v>1</v>
      </c>
      <c r="K30" s="13" t="b">
        <f t="shared" si="2"/>
        <v>1</v>
      </c>
      <c r="L30" s="19" t="s">
        <v>76</v>
      </c>
      <c r="M30" s="12" t="s">
        <v>202</v>
      </c>
      <c r="N30" s="11" t="s">
        <v>119</v>
      </c>
      <c r="O30" s="11" t="s">
        <v>226</v>
      </c>
      <c r="P30" s="17" t="s">
        <v>238</v>
      </c>
      <c r="Q30" s="15" t="s">
        <v>138</v>
      </c>
      <c r="R30" s="19" t="s">
        <v>47</v>
      </c>
      <c r="S30" s="11" t="str" cm="1">
        <f t="array" ref="S30">_xlfn.LET(_xlpm.n,IFERROR(_xlfn.TEXTAFTER(R30,"/",-1),""),_xlpm.c,{"%20","%27","%28","%29","%2C","%C3%A9","%C3%A8","%C3%AA","%C3%A0","%C3%A2","%C3%A7","%C3%B4","%C3%AE","%C3%B9","%C3%BB","%C3%89","%C2%BA","%C2%B0"},_xlpm.r,{" ","'","(",")",",","é","è","ê","à","â","ç","ô","î","ù","û","É","º","°"},_xlfn.REDUCE(_xlpm.n,_xlfn.SEQUENCE(COLUMNS(_xlpm.c)),_xlfn.LAMBDA(_xlpm.a,_xlpm.i,SUBSTITUTE(_xlpm.a,INDEX(_xlpm.c,_xlpm.i),INDEX(_xlpm.r,_xlpm.i)))))</f>
        <v>ncc cotation 3.pdf</v>
      </c>
    </row>
    <row r="31" spans="1:19" ht="75" x14ac:dyDescent="0.25">
      <c r="A31" s="10">
        <v>2024</v>
      </c>
      <c r="B31" s="10" t="s">
        <v>13</v>
      </c>
      <c r="C31" s="10" t="s">
        <v>149</v>
      </c>
      <c r="D31" s="19" t="s">
        <v>155</v>
      </c>
      <c r="E31" s="11" t="str" cm="1">
        <f t="array" ref="E31">_xlfn.LET(_xlpm.n,IFERROR(_xlfn.TEXTAFTER(D31,"/",-1),""),_xlpm.c,{"%20","%27","%28","%29","%2C","%C3%A9","%C3%A8","%C3%AA","%C3%A0","%C3%A2","%C3%A7","%C3%B4","%C3%AE","%C3%B9","%C3%BB","%C3%89","%C2%BA","%C2%B0"},_xlpm.r,{" ","'","(",")",",","é","è","ê","à","â","ç","ô","î","ù","û","É","º","°"},_xlfn.REDUCE(_xlpm.n,_xlfn.SEQUENCE(COLUMNS(_xlpm.c)),_xlfn.LAMBDA(_xlpm.a,_xlpm.i,SUBSTITUTE(_xlpm.a,INDEX(_xlpm.c,_xlpm.i),INDEX(_xlpm.r,_xlpm.i)))))</f>
        <v>Accord collectif mise en place CCN.pdf</v>
      </c>
      <c r="F31" s="12">
        <f>DATE(2024,2,15)</f>
        <v>45337</v>
      </c>
      <c r="G31" s="13" t="b">
        <f t="shared" si="3"/>
        <v>1</v>
      </c>
      <c r="H31" s="13" t="b">
        <v>1</v>
      </c>
      <c r="I31" s="13" t="b">
        <v>1</v>
      </c>
      <c r="J31" s="13" t="b">
        <v>1</v>
      </c>
      <c r="K31" s="13" t="str">
        <f t="shared" si="2"/>
        <v>-</v>
      </c>
      <c r="L31" s="19" t="s">
        <v>183</v>
      </c>
      <c r="M31" s="11" t="s">
        <v>201</v>
      </c>
      <c r="N31" s="11" t="s">
        <v>169</v>
      </c>
      <c r="O31" s="11" t="s">
        <v>227</v>
      </c>
      <c r="P31" s="11" t="s">
        <v>238</v>
      </c>
      <c r="Q31" s="15"/>
      <c r="R31" s="19"/>
      <c r="S31" s="11"/>
    </row>
    <row r="32" spans="1:19" ht="45" x14ac:dyDescent="0.25">
      <c r="A32" s="10">
        <v>2023</v>
      </c>
      <c r="B32" s="10" t="s">
        <v>13</v>
      </c>
      <c r="C32" s="10" t="s">
        <v>59</v>
      </c>
      <c r="D32" s="19" t="s">
        <v>97</v>
      </c>
      <c r="E32" s="11" t="str" cm="1">
        <f t="array" ref="E32">_xlfn.LET(_xlpm.n,IFERROR(_xlfn.TEXTAFTER(D32,"/",-1),""),_xlpm.c,{"%20","%27","%28","%29","%2C","%C3%A9","%C3%A8","%C3%AA","%C3%A0","%C3%A2","%C3%A7","%C3%B4","%C3%AE","%C3%B9","%C3%BB","%C3%89","%C2%BA","%C2%B0"},_xlpm.r,{" ","'","(",")",",","é","è","ê","à","â","ç","ô","î","ù","û","É","º","°"},_xlfn.REDUCE(_xlpm.n,_xlfn.SEQUENCE(COLUMNS(_xlpm.c)),_xlfn.LAMBDA(_xlpm.a,_xlpm.i,SUBSTITUTE(_xlpm.a,INDEX(_xlpm.c,_xlpm.i),INDEX(_xlpm.r,_xlpm.i)))))</f>
        <v>Accord harmonisation taux variable cible salariés non sales du 19 décembre 2023.pdf</v>
      </c>
      <c r="F32" s="12">
        <v>45279</v>
      </c>
      <c r="G32" s="13" t="b">
        <f t="shared" si="3"/>
        <v>1</v>
      </c>
      <c r="H32" s="13" t="b">
        <v>1</v>
      </c>
      <c r="I32" s="13" t="b">
        <v>1</v>
      </c>
      <c r="J32" s="13" t="b">
        <v>1</v>
      </c>
      <c r="K32" s="13" t="str">
        <f t="shared" si="2"/>
        <v>-</v>
      </c>
      <c r="L32" s="19" t="s">
        <v>187</v>
      </c>
      <c r="M32" s="12" t="s">
        <v>80</v>
      </c>
      <c r="N32" s="11" t="s">
        <v>120</v>
      </c>
      <c r="O32" s="11" t="s">
        <v>277</v>
      </c>
      <c r="P32" s="17" t="s">
        <v>276</v>
      </c>
      <c r="Q32" s="15" t="s">
        <v>8</v>
      </c>
      <c r="R32" s="19" t="s">
        <v>8</v>
      </c>
      <c r="S32" s="11" t="str" cm="1">
        <f t="array" ref="S32">_xlfn.LET(_xlpm.n,IFERROR(_xlfn.TEXTAFTER(R32,"/",-1),""),_xlpm.c,{"%20","%27","%28","%29","%2C","%C3%A9","%C3%A8","%C3%AA","%C3%A0","%C3%A2","%C3%A7","%C3%B4","%C3%AE","%C3%B9","%C3%BB","%C3%89","%C2%BA","%C2%B0"},_xlpm.r,{" ","'","(",")",",","é","è","ê","à","â","ç","ô","î","ù","û","É","º","°"},_xlfn.REDUCE(_xlpm.n,_xlfn.SEQUENCE(COLUMNS(_xlpm.c)),_xlfn.LAMBDA(_xlpm.a,_xlpm.i,SUBSTITUTE(_xlpm.a,INDEX(_xlpm.c,_xlpm.i),INDEX(_xlpm.r,_xlpm.i)))))</f>
        <v/>
      </c>
    </row>
    <row r="33" spans="1:19" ht="45" x14ac:dyDescent="0.25">
      <c r="A33" s="10">
        <v>2024</v>
      </c>
      <c r="B33" s="10" t="s">
        <v>14</v>
      </c>
      <c r="C33" s="10" t="s">
        <v>55</v>
      </c>
      <c r="D33" s="19" t="s">
        <v>27</v>
      </c>
      <c r="E33" s="11" t="str" cm="1">
        <f t="array" ref="E33">_xlfn.LET(_xlpm.n,IFERROR(_xlfn.TEXTAFTER(D33,"/",-1),""),_xlpm.c,{"%20","%27","%28","%29","%2C","%C3%A9","%C3%A8","%C3%AA","%C3%A0","%C3%A2","%C3%A7","%C3%B4","%C3%AE","%C3%B9","%C3%BB","%C3%89","%C2%BA","%C2%B0"},_xlpm.r,{" ","'","(",")",",","é","è","ê","à","â","ç","ô","î","ù","û","É","º","°"},_xlfn.REDUCE(_xlpm.n,_xlfn.SEQUENCE(COLUMNS(_xlpm.c)),_xlfn.LAMBDA(_xlpm.a,_xlpm.i,SUBSTITUTE(_xlpm.a,INDEX(_xlpm.c,_xlpm.i),INDEX(_xlpm.r,_xlpm.i)))))</f>
        <v>Accord aménagement temps travail NPS 2024.pdf</v>
      </c>
      <c r="F33" s="12">
        <v>45268</v>
      </c>
      <c r="G33" s="13" t="b">
        <f t="shared" si="3"/>
        <v>1</v>
      </c>
      <c r="H33" s="13" t="b">
        <v>1</v>
      </c>
      <c r="I33" s="13" t="b">
        <v>1</v>
      </c>
      <c r="J33" s="13" t="b">
        <v>1</v>
      </c>
      <c r="K33" s="13" t="b">
        <f t="shared" si="2"/>
        <v>1</v>
      </c>
      <c r="L33" s="19" t="s">
        <v>62</v>
      </c>
      <c r="M33" s="12" t="s">
        <v>203</v>
      </c>
      <c r="N33" s="11" t="s">
        <v>121</v>
      </c>
      <c r="O33" s="11" t="s">
        <v>217</v>
      </c>
      <c r="P33" s="11" t="s">
        <v>253</v>
      </c>
      <c r="Q33" s="15" t="s">
        <v>8</v>
      </c>
      <c r="R33" s="19" t="s">
        <v>8</v>
      </c>
      <c r="S33" s="11" t="str" cm="1">
        <f t="array" ref="S33">_xlfn.LET(_xlpm.n,IFERROR(_xlfn.TEXTAFTER(R33,"/",-1),""),_xlpm.c,{"%20","%27","%28","%29","%2C","%C3%A9","%C3%A8","%C3%AA","%C3%A0","%C3%A2","%C3%A7","%C3%B4","%C3%AE","%C3%B9","%C3%BB","%C3%89","%C2%BA","%C2%B0"},_xlpm.r,{" ","'","(",")",",","é","è","ê","à","â","ç","ô","î","ù","û","É","º","°"},_xlfn.REDUCE(_xlpm.n,_xlfn.SEQUENCE(COLUMNS(_xlpm.c)),_xlfn.LAMBDA(_xlpm.a,_xlpm.i,SUBSTITUTE(_xlpm.a,INDEX(_xlpm.c,_xlpm.i),INDEX(_xlpm.r,_xlpm.i)))))</f>
        <v/>
      </c>
    </row>
    <row r="34" spans="1:19" ht="30" x14ac:dyDescent="0.25">
      <c r="A34" s="10">
        <v>2023</v>
      </c>
      <c r="B34" s="10" t="s">
        <v>13</v>
      </c>
      <c r="C34" s="10" t="s">
        <v>21</v>
      </c>
      <c r="D34" s="19" t="s">
        <v>32</v>
      </c>
      <c r="E34" s="11" t="str" cm="1">
        <f t="array" ref="E34">_xlfn.LET(_xlpm.n,IFERROR(_xlfn.TEXTAFTER(D34,"/",-1),""),_xlpm.c,{"%20","%27","%28","%29","%2C","%C3%A9","%C3%A8","%C3%AA","%C3%A0","%C3%A2","%C3%A7","%C3%B4","%C3%AE","%C3%B9","%C3%BB","%C3%89","%C2%BA","%C2%B0"},_xlpm.r,{" ","'","(",")",",","é","è","ê","à","â","ç","ô","î","ù","û","É","º","°"},_xlfn.REDUCE(_xlpm.n,_xlfn.SEQUENCE(COLUMNS(_xlpm.c)),_xlfn.LAMBDA(_xlpm.a,_xlpm.i,SUBSTITUTE(_xlpm.a,INDEX(_xlpm.c,_xlpm.i),INDEX(_xlpm.r,_xlpm.i)))))</f>
        <v>Accord de substitution non cadres - 30 novembre 2023.pdf</v>
      </c>
      <c r="F34" s="12">
        <f>DATE(2023,11,30)</f>
        <v>45260</v>
      </c>
      <c r="G34" s="13" t="b">
        <f t="shared" si="3"/>
        <v>1</v>
      </c>
      <c r="H34" s="13" t="b">
        <v>1</v>
      </c>
      <c r="I34" s="13" t="b">
        <v>1</v>
      </c>
      <c r="J34" s="13" t="b">
        <v>1</v>
      </c>
      <c r="K34" s="13" t="str">
        <f t="shared" si="2"/>
        <v>-</v>
      </c>
      <c r="L34" s="19" t="s">
        <v>77</v>
      </c>
      <c r="M34" s="12" t="s">
        <v>86</v>
      </c>
      <c r="N34" s="11" t="s">
        <v>122</v>
      </c>
      <c r="O34" s="11" t="s">
        <v>220</v>
      </c>
      <c r="P34" s="11" t="s">
        <v>239</v>
      </c>
      <c r="Q34" s="15" t="s">
        <v>8</v>
      </c>
      <c r="R34" s="19" t="s">
        <v>8</v>
      </c>
      <c r="S34" s="11" t="str" cm="1">
        <f t="array" ref="S34">_xlfn.LET(_xlpm.n,IFERROR(_xlfn.TEXTAFTER(R34,"/",-1),""),_xlpm.c,{"%20","%27","%28","%29","%2C","%C3%A9","%C3%A8","%C3%AA","%C3%A0","%C3%A2","%C3%A7","%C3%B4","%C3%AE","%C3%B9","%C3%BB","%C3%89","%C2%BA","%C2%B0"},_xlpm.r,{" ","'","(",")",",","é","è","ê","à","â","ç","ô","î","ù","û","É","º","°"},_xlfn.REDUCE(_xlpm.n,_xlfn.SEQUENCE(COLUMNS(_xlpm.c)),_xlfn.LAMBDA(_xlpm.a,_xlpm.i,SUBSTITUTE(_xlpm.a,INDEX(_xlpm.c,_xlpm.i),INDEX(_xlpm.r,_xlpm.i)))))</f>
        <v/>
      </c>
    </row>
    <row r="35" spans="1:19" ht="135" x14ac:dyDescent="0.25">
      <c r="A35" s="10">
        <v>2023</v>
      </c>
      <c r="B35" s="10" t="s">
        <v>13</v>
      </c>
      <c r="C35" s="10" t="s">
        <v>5</v>
      </c>
      <c r="D35" s="19" t="s">
        <v>31</v>
      </c>
      <c r="E35" s="11" t="str" cm="1">
        <f t="array" ref="E35">_xlfn.LET(_xlpm.n,IFERROR(_xlfn.TEXTAFTER(D35,"/",-1),""),_xlpm.c,{"%20","%27","%28","%29","%2C","%C3%A9","%C3%A8","%C3%AA","%C3%A0","%C3%A2","%C3%A7","%C3%B4","%C3%AE","%C3%B9","%C3%BB","%C3%89","%C2%BA","%C2%B0"},_xlpm.r,{" ","'","(",")",",","é","è","ê","à","â","ç","ô","î","ù","û","É","º","°"},_xlfn.REDUCE(_xlpm.n,_xlfn.SEQUENCE(COLUMNS(_xlpm.c)),_xlfn.LAMBDA(_xlpm.a,_xlpm.i,SUBSTITUTE(_xlpm.a,INDEX(_xlpm.c,_xlpm.i),INDEX(_xlpm.r,_xlpm.i)))))</f>
        <v>Accord RCC 2023.pdf</v>
      </c>
      <c r="F35" s="12">
        <v>45111</v>
      </c>
      <c r="G35" s="13" t="b">
        <f t="shared" si="3"/>
        <v>1</v>
      </c>
      <c r="H35" s="13" t="b">
        <v>1</v>
      </c>
      <c r="I35" s="13" t="b">
        <v>1</v>
      </c>
      <c r="J35" s="13" t="b">
        <v>0</v>
      </c>
      <c r="K35" s="13" t="str">
        <f t="shared" si="2"/>
        <v>-</v>
      </c>
      <c r="L35" s="19" t="s">
        <v>78</v>
      </c>
      <c r="M35" s="12" t="s">
        <v>204</v>
      </c>
      <c r="N35" s="11" t="s">
        <v>123</v>
      </c>
      <c r="O35" s="11" t="s">
        <v>268</v>
      </c>
      <c r="P35" s="11" t="s">
        <v>315</v>
      </c>
      <c r="Q35" s="15" t="s">
        <v>140</v>
      </c>
      <c r="R35" s="19" t="s">
        <v>48</v>
      </c>
      <c r="S35" s="11" t="str" cm="1">
        <f t="array" ref="S35">_xlfn.LET(_xlpm.n,IFERROR(_xlfn.TEXTAFTER(R35,"/",-1),""),_xlpm.c,{"%20","%27","%28","%29","%2C","%C3%A9","%C3%A8","%C3%AA","%C3%A0","%C3%A2","%C3%A7","%C3%B4","%C3%AE","%C3%B9","%C3%BB","%C3%89","%C2%BA","%C2%B0"},_xlpm.r,{" ","'","(",")",",","é","è","ê","à","â","ç","ô","î","ù","û","É","º","°"},_xlfn.REDUCE(_xlpm.n,_xlfn.SEQUENCE(COLUMNS(_xlpm.c)),_xlfn.LAMBDA(_xlpm.a,_xlpm.i,SUBSTITUTE(_xlpm.a,INDEX(_xlpm.c,_xlpm.i),INDEX(_xlpm.r,_xlpm.i)))))</f>
        <v>Tract Volontariat RCC.pdf</v>
      </c>
    </row>
    <row r="36" spans="1:19" ht="90" x14ac:dyDescent="0.25">
      <c r="A36" s="10">
        <v>2023</v>
      </c>
      <c r="B36" s="10" t="s">
        <v>13</v>
      </c>
      <c r="C36" s="10" t="s">
        <v>246</v>
      </c>
      <c r="D36" s="19" t="s">
        <v>36</v>
      </c>
      <c r="E36" s="11" t="str" cm="1">
        <f t="array" ref="E36">_xlfn.LET(_xlpm.n,IFERROR(_xlfn.TEXTAFTER(D36,"/",-1),""),_xlpm.c,{"%20","%27","%28","%29","%2C","%C3%A9","%C3%A8","%C3%AA","%C3%A0","%C3%A2","%C3%A7","%C3%B4","%C3%AE","%C3%B9","%C3%BB","%C3%89","%C2%BA","%C2%B0"},_xlpm.r,{" ","'","(",")",",","é","è","ê","à","â","ç","ô","î","ù","û","É","º","°"},_xlfn.REDUCE(_xlpm.n,_xlfn.SEQUENCE(COLUMNS(_xlpm.c)),_xlfn.LAMBDA(_xlpm.a,_xlpm.i,SUBSTITUTE(_xlpm.a,INDEX(_xlpm.c,_xlpm.i),INDEX(_xlpm.r,_xlpm.i)))))</f>
        <v>NAO 2023 - PV désaccord.pdf</v>
      </c>
      <c r="F36" s="12">
        <v>45028</v>
      </c>
      <c r="G36" s="13" t="b">
        <v>0</v>
      </c>
      <c r="H36" s="13" t="b">
        <v>0</v>
      </c>
      <c r="I36" s="13" t="b">
        <v>0</v>
      </c>
      <c r="J36" s="13" t="b">
        <v>0</v>
      </c>
      <c r="K36" s="13" t="str">
        <f t="shared" si="2"/>
        <v>-</v>
      </c>
      <c r="L36" s="19" t="s">
        <v>212</v>
      </c>
      <c r="M36" s="12" t="s">
        <v>82</v>
      </c>
      <c r="N36" s="11" t="s">
        <v>269</v>
      </c>
      <c r="O36" s="11" t="s">
        <v>270</v>
      </c>
      <c r="P36" s="11" t="s">
        <v>218</v>
      </c>
      <c r="Q36" s="15" t="s">
        <v>141</v>
      </c>
      <c r="R36" s="19" t="s">
        <v>49</v>
      </c>
      <c r="S36" s="11" t="str" cm="1">
        <f t="array" ref="S36">_xlfn.LET(_xlpm.n,IFERROR(_xlfn.TEXTAFTER(R36,"/",-1),""),_xlpm.c,{"%20","%27","%28","%29","%2C","%C3%A9","%C3%A8","%C3%AA","%C3%A0","%C3%A2","%C3%A7","%C3%B4","%C3%AE","%C3%B9","%C3%BB","%C3%89","%C2%BA","%C2%B0"},_xlpm.r,{" ","'","(",")",",","é","è","ê","à","â","ç","ô","î","ù","û","É","º","°"},_xlfn.REDUCE(_xlpm.n,_xlfn.SEQUENCE(COLUMNS(_xlpm.c)),_xlfn.LAMBDA(_xlpm.a,_xlpm.i,SUBSTITUTE(_xlpm.a,INDEX(_xlpm.c,_xlpm.i),INDEX(_xlpm.r,_xlpm.i)))))</f>
        <v>Tract brèves de printemps.pdf</v>
      </c>
    </row>
    <row r="37" spans="1:19" ht="75" x14ac:dyDescent="0.25">
      <c r="A37" s="10">
        <v>2023</v>
      </c>
      <c r="B37" s="10" t="s">
        <v>13</v>
      </c>
      <c r="C37" s="10" t="s">
        <v>4</v>
      </c>
      <c r="D37" s="19" t="s">
        <v>29</v>
      </c>
      <c r="E37" s="11" t="str" cm="1">
        <f t="array" ref="E37">_xlfn.LET(_xlpm.n,IFERROR(_xlfn.TEXTAFTER(D37,"/",-1),""),_xlpm.c,{"%20","%27","%28","%29","%2C","%C3%A9","%C3%A8","%C3%AA","%C3%A0","%C3%A2","%C3%A7","%C3%B4","%C3%AE","%C3%B9","%C3%BB","%C3%89","%C2%BA","%C2%B0"},_xlpm.r,{" ","'","(",")",",","é","è","ê","à","â","ç","ô","î","ù","û","É","º","°"},_xlfn.REDUCE(_xlpm.n,_xlfn.SEQUENCE(COLUMNS(_xlpm.c)),_xlfn.LAMBDA(_xlpm.a,_xlpm.i,SUBSTITUTE(_xlpm.a,INDEX(_xlpm.c,_xlpm.i),INDEX(_xlpm.r,_xlpm.i)))))</f>
        <v>Accord égalité professionnelle.pdf</v>
      </c>
      <c r="F37" s="12">
        <v>45028</v>
      </c>
      <c r="G37" s="13" t="b">
        <f>IF(ISNUMBER(SEARCH("PV de désaccord",C37)),TRUE,IF(AND(B37="LAN",I37=TRUE),TRUE,IF(AND(B37="NPS",I37=TRUE,K37=TRUE),TRUE,_xlfn.LET(_xlpm.ok,COUNTIF(H37:J37,TRUE),_xlpm.av,COUNTIF(H37:J37,"À vérifier"),IF(_xlpm.ok&gt;=2,TRUE,IF(_xlpm.ok+_xlpm.av&gt;=2,"À vérifier",FALSE))))))</f>
        <v>1</v>
      </c>
      <c r="H37" s="13" t="b">
        <v>0</v>
      </c>
      <c r="I37" s="13" t="b">
        <v>1</v>
      </c>
      <c r="J37" s="13" t="b">
        <v>1</v>
      </c>
      <c r="K37" s="13" t="str">
        <f t="shared" si="2"/>
        <v>-</v>
      </c>
      <c r="L37" s="19" t="s">
        <v>88</v>
      </c>
      <c r="M37" s="12" t="s">
        <v>205</v>
      </c>
      <c r="N37" s="11" t="s">
        <v>124</v>
      </c>
      <c r="O37" s="11" t="s">
        <v>271</v>
      </c>
      <c r="P37" s="17" t="s">
        <v>240</v>
      </c>
      <c r="Q37" s="15" t="s">
        <v>141</v>
      </c>
      <c r="R37" s="19" t="s">
        <v>49</v>
      </c>
      <c r="S37" s="11" t="str" cm="1">
        <f t="array" ref="S37">_xlfn.LET(_xlpm.n,IFERROR(_xlfn.TEXTAFTER(R37,"/",-1),""),_xlpm.c,{"%20","%27","%28","%29","%2C","%C3%A9","%C3%A8","%C3%AA","%C3%A0","%C3%A2","%C3%A7","%C3%B4","%C3%AE","%C3%B9","%C3%BB","%C3%89","%C2%BA","%C2%B0"},_xlpm.r,{" ","'","(",")",",","é","è","ê","à","â","ç","ô","î","ù","û","É","º","°"},_xlfn.REDUCE(_xlpm.n,_xlfn.SEQUENCE(COLUMNS(_xlpm.c)),_xlfn.LAMBDA(_xlpm.a,_xlpm.i,SUBSTITUTE(_xlpm.a,INDEX(_xlpm.c,_xlpm.i),INDEX(_xlpm.r,_xlpm.i)))))</f>
        <v>Tract brèves de printemps.pdf</v>
      </c>
    </row>
    <row r="38" spans="1:19" ht="30" x14ac:dyDescent="0.25">
      <c r="A38" s="10">
        <v>2023</v>
      </c>
      <c r="B38" s="10" t="s">
        <v>14</v>
      </c>
      <c r="C38" s="10" t="s">
        <v>89</v>
      </c>
      <c r="D38" s="19" t="s">
        <v>173</v>
      </c>
      <c r="E38" s="11" t="str" cm="1">
        <f t="array" ref="E38">_xlfn.LET(_xlpm.n,IFERROR(_xlfn.TEXTAFTER(D38,"/",-1),""),_xlpm.c,{"%20","%27","%28","%29","%2C","%C3%A9","%C3%A8","%C3%AA","%C3%A0","%C3%A2","%C3%A7","%C3%B4","%C3%AE","%C3%B9","%C3%BB","%C3%89","%C2%BA","%C2%B0"},_xlpm.r,{" ","'","(",")",",","é","è","ê","à","â","ç","ô","î","ù","û","É","º","°"},_xlfn.REDUCE(_xlpm.n,_xlfn.SEQUENCE(COLUMNS(_xlpm.c)),_xlfn.LAMBDA(_xlpm.a,_xlpm.i,SUBSTITUTE(_xlpm.a,INDEX(_xlpm.c,_xlpm.i),INDEX(_xlpm.r,_xlpm.i)))))</f>
        <v>Accord aménagement temps travail NPS 2023.pdf</v>
      </c>
      <c r="F38" s="12">
        <v>44967</v>
      </c>
      <c r="G38" s="13" t="b">
        <f>IF(ISNUMBER(SEARCH("PV de désaccord",C38)),TRUE,IF(AND(B38="LAN",I38=TRUE),TRUE,IF(AND(B38="NPS",I38=TRUE,K38=TRUE),TRUE,_xlfn.LET(_xlpm.ok,COUNTIF(H38:J38,TRUE),_xlpm.av,COUNTIF(H38:J38,"À vérifier"),IF(_xlpm.ok&gt;=2,TRUE,IF(_xlpm.ok+_xlpm.av&gt;=2,"À vérifier",FALSE))))))</f>
        <v>1</v>
      </c>
      <c r="H38" s="13" t="b">
        <v>1</v>
      </c>
      <c r="I38" s="13" t="b">
        <v>1</v>
      </c>
      <c r="J38" s="13" t="b">
        <v>1</v>
      </c>
      <c r="K38" s="13" t="b">
        <f t="shared" si="2"/>
        <v>1</v>
      </c>
      <c r="L38" s="19" t="s">
        <v>90</v>
      </c>
      <c r="M38" s="12" t="s">
        <v>200</v>
      </c>
      <c r="N38" s="11" t="s">
        <v>126</v>
      </c>
      <c r="O38" s="11"/>
      <c r="P38" s="11" t="s">
        <v>253</v>
      </c>
      <c r="Q38" s="15" t="s">
        <v>8</v>
      </c>
      <c r="R38" s="19" t="s">
        <v>8</v>
      </c>
      <c r="S38" s="11" t="str" cm="1">
        <f t="array" ref="S38">_xlfn.LET(_xlpm.n,IFERROR(_xlfn.TEXTAFTER(R38,"/",-1),""),_xlpm.c,{"%20","%27","%28","%29","%2C","%C3%A9","%C3%A8","%C3%AA","%C3%A0","%C3%A2","%C3%A7","%C3%B4","%C3%AE","%C3%B9","%C3%BB","%C3%89","%C2%BA","%C2%B0"},_xlpm.r,{" ","'","(",")",",","é","è","ê","à","â","ç","ô","î","ù","û","É","º","°"},_xlfn.REDUCE(_xlpm.n,_xlfn.SEQUENCE(COLUMNS(_xlpm.c)),_xlfn.LAMBDA(_xlpm.a,_xlpm.i,SUBSTITUTE(_xlpm.a,INDEX(_xlpm.c,_xlpm.i),INDEX(_xlpm.r,_xlpm.i)))))</f>
        <v/>
      </c>
    </row>
    <row r="39" spans="1:19" ht="30" x14ac:dyDescent="0.25">
      <c r="A39" s="10">
        <v>2023</v>
      </c>
      <c r="B39" s="10" t="s">
        <v>172</v>
      </c>
      <c r="C39" s="10" t="s">
        <v>151</v>
      </c>
      <c r="D39" s="19" t="s">
        <v>161</v>
      </c>
      <c r="E39" s="11" t="str" cm="1">
        <f t="array" ref="E39">_xlfn.LET(_xlpm.n,IFERROR(_xlfn.TEXTAFTER(D39,"/",-1),""),_xlpm.c,{"%20","%27","%28","%29","%2C","%C3%A9","%C3%A8","%C3%AA","%C3%A0","%C3%A2","%C3%A7","%C3%B4","%C3%AE","%C3%B9","%C3%BB","%C3%89","%C2%BA","%C2%B0"},_xlpm.r,{" ","'","(",")",",","é","è","ê","à","â","ç","ô","î","ù","û","É","º","°"},_xlfn.REDUCE(_xlpm.n,_xlfn.SEQUENCE(COLUMNS(_xlpm.c)),_xlfn.LAMBDA(_xlpm.a,_xlpm.i,SUBSTITUTE(_xlpm.a,INDEX(_xlpm.c,_xlpm.i),INDEX(_xlpm.r,_xlpm.i)))))</f>
        <v>Accord nombre délégués syndicaux Lannion 24 janvier 2023.pdf</v>
      </c>
      <c r="F39" s="12">
        <f>DATE(2023,1,24)</f>
        <v>44950</v>
      </c>
      <c r="G39" s="13" t="b">
        <f>IF(ISNUMBER(SEARCH("PV de désaccord",C39)),TRUE,IF(AND(B39="LAN",I39=TRUE),TRUE,IF(AND(B39="NPS",I39=TRUE,K39=TRUE),TRUE,_xlfn.LET(_xlpm.ok,COUNTIF(H39:J39,TRUE),_xlpm.av,COUNTIF(H39:J39,"À vérifier"),IF(_xlpm.ok&gt;=2,TRUE,IF(_xlpm.ok+_xlpm.av&gt;=2,"À vérifier",FALSE))))))</f>
        <v>1</v>
      </c>
      <c r="H39" s="13" t="b">
        <v>1</v>
      </c>
      <c r="I39" s="13" t="b">
        <v>1</v>
      </c>
      <c r="J39" s="13" t="b">
        <v>1</v>
      </c>
      <c r="K39" s="13" t="str">
        <f t="shared" si="2"/>
        <v>-</v>
      </c>
      <c r="L39" s="19" t="s">
        <v>185</v>
      </c>
      <c r="M39" s="12" t="s">
        <v>206</v>
      </c>
      <c r="N39" s="11" t="s">
        <v>171</v>
      </c>
      <c r="O39" s="11"/>
      <c r="P39" s="11" t="s">
        <v>272</v>
      </c>
      <c r="Q39" s="15"/>
      <c r="R39" s="19"/>
      <c r="S39" s="11"/>
    </row>
    <row r="40" spans="1:19" ht="30" x14ac:dyDescent="0.25">
      <c r="A40" s="10">
        <v>2023</v>
      </c>
      <c r="B40" s="10" t="s">
        <v>14</v>
      </c>
      <c r="C40" s="10" t="s">
        <v>150</v>
      </c>
      <c r="D40" s="19" t="s">
        <v>156</v>
      </c>
      <c r="E40" s="11" t="str" cm="1">
        <f t="array" ref="E40">_xlfn.LET(_xlpm.n,IFERROR(_xlfn.TEXTAFTER(D40,"/",-1),""),_xlpm.c,{"%20","%27","%28","%29","%2C","%C3%A9","%C3%A8","%C3%AA","%C3%A0","%C3%A2","%C3%A7","%C3%B4","%C3%AE","%C3%B9","%C3%BB","%C3%89","%C2%BA","%C2%B0"},_xlpm.r,{" ","'","(",")",",","é","è","ê","à","â","ç","ô","î","ù","û","É","º","°"},_xlfn.REDUCE(_xlpm.n,_xlfn.SEQUENCE(COLUMNS(_xlpm.c)),_xlfn.LAMBDA(_xlpm.a,_xlpm.i,SUBSTITUTE(_xlpm.a,INDEX(_xlpm.c,_xlpm.i),INDEX(_xlpm.r,_xlpm.i)))))</f>
        <v>Accord augmentation nombre délégués syndicaux NPS 2023.pdf</v>
      </c>
      <c r="F40" s="12">
        <f>DATE(2023,1,23)</f>
        <v>44949</v>
      </c>
      <c r="G40" s="13" t="b">
        <f>IF(ISNUMBER(SEARCH("PV de désaccord",C40)),TRUE,IF(AND(B40="LAN",I40=TRUE),TRUE,IF(AND(B40="NPS",I40=TRUE,K40=TRUE),TRUE,_xlfn.LET(_xlpm.ok,COUNTIF(H40:J40,TRUE),_xlpm.av,COUNTIF(H40:J40,"À vérifier"),IF(_xlpm.ok&gt;=2,TRUE,IF(_xlpm.ok+_xlpm.av&gt;=2,"À vérifier",FALSE))))))</f>
        <v>1</v>
      </c>
      <c r="H40" s="13" t="b">
        <v>1</v>
      </c>
      <c r="I40" s="13" t="b">
        <v>1</v>
      </c>
      <c r="J40" s="13" t="b">
        <v>1</v>
      </c>
      <c r="K40" s="13" t="b">
        <f t="shared" si="2"/>
        <v>1</v>
      </c>
      <c r="L40" s="19" t="s">
        <v>184</v>
      </c>
      <c r="M40" s="12" t="s">
        <v>207</v>
      </c>
      <c r="N40" s="11" t="s">
        <v>170</v>
      </c>
      <c r="O40" s="11"/>
      <c r="P40" s="15" t="s">
        <v>273</v>
      </c>
      <c r="Q40" s="15"/>
      <c r="R40" s="19"/>
      <c r="S40" s="11"/>
    </row>
    <row r="41" spans="1:19" ht="15" customHeight="1" x14ac:dyDescent="0.25">
      <c r="A41" s="10">
        <v>2023</v>
      </c>
      <c r="B41" s="10" t="s">
        <v>13</v>
      </c>
      <c r="C41" s="10" t="s">
        <v>22</v>
      </c>
      <c r="D41" s="19" t="s">
        <v>30</v>
      </c>
      <c r="E41" s="11" t="str" cm="1">
        <f t="array" ref="E41">_xlfn.LET(_xlpm.n,IFERROR(_xlfn.TEXTAFTER(D41,"/",-1),""),_xlpm.c,{"%20","%27","%28","%29","%2C","%C3%A9","%C3%A8","%C3%AA","%C3%A0","%C3%A2","%C3%A7","%C3%B4","%C3%AE","%C3%B9","%C3%BB","%C3%89","%C2%BA","%C2%B0"},_xlpm.r,{" ","'","(",")",",","é","è","ê","à","â","ç","ô","î","ù","û","É","º","°"},_xlfn.REDUCE(_xlpm.n,_xlfn.SEQUENCE(COLUMNS(_xlpm.c)),_xlfn.LAMBDA(_xlpm.a,_xlpm.i,SUBSTITUTE(_xlpm.a,INDEX(_xlpm.c,_xlpm.i),INDEX(_xlpm.r,_xlpm.i)))))</f>
        <v>Accord remboursement santé - 2023.pdf</v>
      </c>
      <c r="F41" s="12">
        <f>DATE(2022,11,17)</f>
        <v>44882</v>
      </c>
      <c r="G41" s="13" t="b">
        <f>IF(ISNUMBER(SEARCH("PV de désaccord",C41)),TRUE,IF(AND(B41="LAN",I41=TRUE),TRUE,IF(AND(B41="NPS",I41=TRUE,K41=TRUE),TRUE,_xlfn.LET(_xlpm.ok,COUNTIF(H41:J41,TRUE),_xlpm.av,COUNTIF(H41:J41,"À vérifier"),IF(_xlpm.ok&gt;=2,TRUE,IF(_xlpm.ok+_xlpm.av&gt;=2,"À vérifier",FALSE))))))</f>
        <v>1</v>
      </c>
      <c r="H41" s="13" t="b">
        <v>1</v>
      </c>
      <c r="I41" s="13" t="b">
        <v>1</v>
      </c>
      <c r="J41" s="13" t="b">
        <v>1</v>
      </c>
      <c r="K41" s="13" t="str">
        <f t="shared" si="2"/>
        <v>-</v>
      </c>
      <c r="L41" s="19" t="s">
        <v>79</v>
      </c>
      <c r="M41" s="12" t="s">
        <v>83</v>
      </c>
      <c r="N41" s="11" t="s">
        <v>125</v>
      </c>
      <c r="O41" s="11"/>
      <c r="P41" s="15" t="s">
        <v>241</v>
      </c>
      <c r="Q41" s="15" t="s">
        <v>8</v>
      </c>
      <c r="R41" s="19" t="s">
        <v>8</v>
      </c>
      <c r="S41" s="11" t="str" cm="1">
        <f t="array" ref="S41">_xlfn.LET(_xlpm.n,IFERROR(_xlfn.TEXTAFTER(R41,"/",-1),""),_xlpm.c,{"%20","%27","%28","%29","%2C","%C3%A9","%C3%A8","%C3%AA","%C3%A0","%C3%A2","%C3%A7","%C3%B4","%C3%AE","%C3%B9","%C3%BB","%C3%89","%C2%BA","%C2%B0"},_xlpm.r,{" ","'","(",")",",","é","è","ê","à","â","ç","ô","î","ù","û","É","º","°"},_xlfn.REDUCE(_xlpm.n,_xlfn.SEQUENCE(COLUMNS(_xlpm.c)),_xlfn.LAMBDA(_xlpm.a,_xlpm.i,SUBSTITUTE(_xlpm.a,INDEX(_xlpm.c,_xlpm.i),INDEX(_xlpm.r,_xlpm.i)))))</f>
        <v/>
      </c>
    </row>
  </sheetData>
  <autoFilter ref="A1:S30" xr:uid="{00000000-0001-0000-0000-000000000000}"/>
  <sortState xmlns:xlrd2="http://schemas.microsoft.com/office/spreadsheetml/2017/richdata2" ref="A2:S41">
    <sortCondition descending="1" ref="F2:F41"/>
  </sortState>
  <conditionalFormatting sqref="A41:R41">
    <cfRule type="containsText" dxfId="28" priority="5" operator="containsText" text="vérifier">
      <formula>NOT(ISERROR(SEARCH("vérifier",A41)))</formula>
    </cfRule>
    <cfRule type="containsText" dxfId="27" priority="6" operator="containsText" text="préciser">
      <formula>NOT(ISERROR(SEARCH("préciser",A41)))</formula>
    </cfRule>
    <cfRule type="containsText" dxfId="26" priority="7" operator="containsText" text="retrouver">
      <formula>NOT(ISERROR(SEARCH("retrouver",A41)))</formula>
    </cfRule>
  </conditionalFormatting>
  <conditionalFormatting sqref="D2:D41">
    <cfRule type="expression" dxfId="25" priority="47">
      <formula>LEN(TRIM($D2))=0</formula>
    </cfRule>
    <cfRule type="containsText" dxfId="24" priority="48" operator="containsText" text="CGT39">
      <formula>NOT(ISERROR(SEARCH("CGT39",D2)))</formula>
    </cfRule>
    <cfRule type="containsText" dxfId="23" priority="49" operator="containsText" text="BDESE">
      <formula>NOT(ISERROR(SEARCH("BDESE",D2)))</formula>
    </cfRule>
    <cfRule type="containsText" dxfId="22" priority="50" operator="containsText" text="HRLibrary">
      <formula>NOT(ISERROR(SEARCH("HRLibrary",D2)))</formula>
    </cfRule>
    <cfRule type="containsText" dxfId="21" priority="51" operator="containsText" text="NokiaNetworksFrance">
      <formula>NOT(ISERROR(SEARCH("NokiaNetworksFrance",D2)))</formula>
    </cfRule>
  </conditionalFormatting>
  <conditionalFormatting sqref="G35">
    <cfRule type="expression" dxfId="20" priority="8">
      <formula>G35=TRUE</formula>
    </cfRule>
    <cfRule type="expression" dxfId="19" priority="9">
      <formula>G35=FALSE</formula>
    </cfRule>
  </conditionalFormatting>
  <conditionalFormatting sqref="G2:L30">
    <cfRule type="expression" dxfId="6" priority="41">
      <formula>G2=TRUE</formula>
    </cfRule>
    <cfRule type="expression" dxfId="5" priority="42">
      <formula>G2=FALSE</formula>
    </cfRule>
  </conditionalFormatting>
  <conditionalFormatting sqref="G31:L40">
    <cfRule type="expression" dxfId="18" priority="10">
      <formula>G31=TRUE</formula>
    </cfRule>
    <cfRule type="expression" dxfId="17" priority="11">
      <formula>G31=FALSE</formula>
    </cfRule>
  </conditionalFormatting>
  <conditionalFormatting sqref="G41:L41">
    <cfRule type="expression" dxfId="16" priority="3">
      <formula>G41=TRUE</formula>
    </cfRule>
    <cfRule type="expression" dxfId="15" priority="4">
      <formula>G41=FALSE</formula>
    </cfRule>
  </conditionalFormatting>
  <conditionalFormatting sqref="L30">
    <cfRule type="containsText" dxfId="14" priority="12" operator="containsText" text="vérifier">
      <formula>NOT(ISERROR(SEARCH("vérifier",L30)))</formula>
    </cfRule>
    <cfRule type="containsText" dxfId="13" priority="13" operator="containsText" text="préciser">
      <formula>NOT(ISERROR(SEARCH("préciser",L30)))</formula>
    </cfRule>
    <cfRule type="expression" dxfId="12" priority="14">
      <formula>L30=TRUE</formula>
    </cfRule>
    <cfRule type="expression" dxfId="11" priority="15">
      <formula>L30=FALSE</formula>
    </cfRule>
    <cfRule type="containsText" dxfId="10" priority="16" operator="containsText" text="retrouver">
      <formula>NOT(ISERROR(SEARCH("retrouver",L30)))</formula>
    </cfRule>
  </conditionalFormatting>
  <conditionalFormatting sqref="L28:O30 L31:R31 L32:O32 L33:R36 L37:O37 L38:R40 L2:R2 L3:O4 Q3:R4 L5:R5 L6:O8 Q6:R8 L9:R27 Q28:R30 Q32:R32 Q37:R37 A2:K40">
    <cfRule type="containsText" dxfId="4" priority="26" operator="containsText" text="vérifier">
      <formula>NOT(ISERROR(SEARCH("vérifier",A2)))</formula>
    </cfRule>
    <cfRule type="containsText" dxfId="3" priority="28" operator="containsText" text="préciser">
      <formula>NOT(ISERROR(SEARCH("préciser",A2)))</formula>
    </cfRule>
  </conditionalFormatting>
  <conditionalFormatting sqref="L2:R2 L3:O4 L5:R5 L6:O8 L9:R27 L28:O30 L31:R31 L32:O32 L33:R36 L37:O37 L38:R40 Q3:R4 Q6:R8 Q28:R30 Q32:R32 Q37:R37 A2:K40">
    <cfRule type="containsText" dxfId="2" priority="46" operator="containsText" text="retrouver">
      <formula>NOT(ISERROR(SEARCH("retrouver",A2)))</formula>
    </cfRule>
  </conditionalFormatting>
  <conditionalFormatting sqref="S2:S41">
    <cfRule type="containsText" dxfId="9" priority="20" operator="containsText" text="vérifier">
      <formula>NOT(ISERROR(SEARCH("vérifier",S2)))</formula>
    </cfRule>
    <cfRule type="containsText" dxfId="8" priority="21" operator="containsText" text="préciser">
      <formula>NOT(ISERROR(SEARCH("préciser",S2)))</formula>
    </cfRule>
    <cfRule type="containsText" dxfId="7" priority="22" operator="containsText" text="retrouver">
      <formula>NOT(ISERROR(SEARCH("retrouver",S2)))</formula>
    </cfRule>
  </conditionalFormatting>
  <conditionalFormatting sqref="H36:J36">
    <cfRule type="expression" dxfId="1" priority="1">
      <formula>H36=TRUE</formula>
    </cfRule>
    <cfRule type="expression" dxfId="0" priority="2">
      <formula>H36=FALSE</formula>
    </cfRule>
  </conditionalFormatting>
  <hyperlinks>
    <hyperlink ref="D3" r:id="rId1" display="https://nokia.sharepoint.com/:b:/r/sites/HRLibrary/Controlled%20Documents/HR%20Regions/Europe%20South/France/HR%20SOPs-Guidelines-Policy/Harmonized/Accords%20conventions%202026/2026%20protocole%20accord%20pr%C3%A9%C3%A9ctoral%20LANNION%20sign%C3%A9.pdf" xr:uid="{3DEBA908-9DCC-4C09-BA3C-6496E30376B0}"/>
    <hyperlink ref="D4" r:id="rId2" display="https://nokia.sharepoint.com/:b:/r/sites/HRLibrary/Controlled%20Documents/HR%20Regions/Europe%20South/France/HR%20SOPs-Guidelines-Policy/Harmonized/Accords%20conventions%202026/2026%20protocole%20accord%20pr%C3%A9%C3%A9lectoral%20sign%C3%A9.pdf" xr:uid="{6FEC8F61-3E2E-4A39-8E55-E655F5C98EDB}"/>
    <hyperlink ref="D20" r:id="rId3" display="https://nokia.sharepoint.com/:b:/r/sites/HRLibrary/Controlled%20Documents/HR%20Regions/Europe%20South/France/HR%20SOPs-Guidelines-Policy/Harmonized/Accords%20conventions%202025/Avenant%20Accord%20ARTT%20Lannion%2020%2003%202025.pdf?d=w41b9a9b002484645baa30299d81f4cd9&amp;csf=1&amp;web=1&amp;e=CBBk7K" xr:uid="{DDDE2E99-60A1-4C85-8E8A-A082CBA4D9C2}"/>
    <hyperlink ref="D21" r:id="rId4" display="https://nokia.sharepoint.com/:b:/r/sites/HRLibrary/Controlled%20Documents/HR%20Regions/Europe%20South/France/HR%20SOPs-Guidelines-Policy/Harmonized/Accords%20conventions%202025/Avenant%20Accord%20Horaire%20Variable%20Lannion%2020%2003%202025.pdf?d=w0708203cc5384f55a34496c60e3be8c7&amp;csf=1&amp;web=1&amp;e=HcRWx3" xr:uid="{AD1B6036-A480-400F-BCAB-0625286A7D7B}"/>
    <hyperlink ref="D17" r:id="rId5" display="https://nokia.sharepoint.com/:b:/r/sites/HRLibrary/Controlled%20Documents/HR%20Regions/Europe%20South/France/HR%20SOPs-Guidelines-Policy/Harmonized/Accords%20conventions%202025/Avenant%20frais%20de%20sant%C3%A9%20(9%20avril%202025).pdf?d=w3ab9353536cb49678646454b636bb215&amp;csf=1&amp;web=1&amp;e=HFDFvw" xr:uid="{DB05645A-2A6B-4BAF-9B88-01F85B98CAEE}"/>
    <hyperlink ref="D7" r:id="rId6" display="https://nokia.sharepoint.com/:b:/r/sites/HRLibrary/Controlled%20Documents/HR%20Regions/Europe%20South/France/HR%20SOPs-Guidelines-Policy/Harmonized/Accords%20conventions%202026/Accord%20Etablissement%20Prorogation%20des%20Mandats%20CSE-E%20Lannion.pdf?d=w43ddbf8e1efb416daa39a1aba4d23da2&amp;csf=1&amp;web=1&amp;e=Awv1cc" xr:uid="{CC014E71-AD12-4209-901B-BCFE08D7C6AF}"/>
    <hyperlink ref="D31" r:id="rId7" display="https://nokia.sharepoint.com/:b:/r/sites/HRLibrary/Controlled%20Documents/HR%20Regions/Europe%20South/France/HR%20SOPs-Guidelines-Policy/Harmonized/Accords%20conventions%202024/Accord%20collectif%20mise%20en%20place%20CCN.pdf" xr:uid="{65FF0241-4E2B-41E4-9A3A-2A553B2FC4F7}"/>
    <hyperlink ref="D29" r:id="rId8" display="https://nokia.sharepoint.com/:b:/r/sites/HRLibrary/Controlled%20Documents/HR%20Regions/Europe%20South/France/HR%20SOPs-Guidelines-Policy/Harmonized/Accords%20conventions%202024/Accord%20Etablissement%20NNF%20Lannion%20Mise%20en%20place%20accord%20cadre%20nouvelle%20CCN%20du%207%20mars%202024.pdf" xr:uid="{EAC5F39B-7E23-4F8C-A956-D1A23AD59037}"/>
    <hyperlink ref="D40" r:id="rId9" display="https://nokia.sharepoint.com/:b:/r/sites/HRLibrary/Controlled%20Documents/HR%20Regions/Europe%20South/France/HR%20SOPs-Guidelines-Policy/Harmonized/Accords%20conventions%202023/Accord%20augmentation%20nombre%20d%C3%A9l%C3%A9gu%C3%A9s%20syndicaux%20NPS%202023.pdf" xr:uid="{7AAC36A3-6D0B-4195-B33D-3DBFC7518375}"/>
    <hyperlink ref="D39" r:id="rId10" display="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xr:uid="{F1E97C35-916D-446B-B83F-9D8E27B48A78}"/>
    <hyperlink ref="D38" r:id="rId11" xr:uid="{3CA5F90A-37A0-47B4-A593-00FA1CC25A3A}"/>
    <hyperlink ref="D23" r:id="rId12" xr:uid="{953BDEB9-68F0-45C1-BEE6-C570830B2425}"/>
    <hyperlink ref="L20" r:id="rId13" xr:uid="{9553D652-6925-4255-8B66-56354E6BF3B1}"/>
    <hyperlink ref="L21" r:id="rId14" xr:uid="{0B7E48E3-FDDE-4B3A-A09C-DE4FFC8D13AF}"/>
    <hyperlink ref="D25" r:id="rId15" xr:uid="{35FF18B8-C1F8-4ACB-AC18-C9B1639EB410}"/>
    <hyperlink ref="L14" r:id="rId16" xr:uid="{BA92569F-D437-4A24-9A1C-EDBCBE27EBE4}"/>
    <hyperlink ref="D16" r:id="rId17" display="https://nokia.sharepoint.com/sites/BDESENNF-CSE-C/Shared%20Documents/Forms/AllItems.aspx?id=%2Fsites%2FBDESENNF%2DCSE%2DC%2FShared%20Documents%2F05a%2E%20CSE%2DC%2FCSE%2DC%202025%2F03%2DCSE%2DC%20extraordinaire%209%20avril%202025%2Faccord%20collectif%20relatif%20aux%20%C3%A9volutions%20du%20r%C3%A9gime%20AUXAD%20%2DVF%2Epdf" xr:uid="{22171004-D3FC-446C-9F9D-36C128A50C34}"/>
  </hyperlinks>
  <pageMargins left="0.7" right="0.7" top="0.75" bottom="0.75" header="0.3" footer="0.3"/>
  <pageSetup orientation="portrait" r:id="rId18"/>
  <headerFooter>
    <oddFooter>&amp;C_x000D_&amp;1#&amp;"Aptos"&amp;8&amp;K000000 Nokia internal use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E1360-D0DF-42E4-8989-040F8979EEC8}">
  <dimension ref="A1:B22"/>
  <sheetViews>
    <sheetView workbookViewId="0">
      <pane ySplit="1" topLeftCell="A2" activePane="bottomLeft" state="frozen"/>
      <selection pane="bottomLeft" activeCell="B55" sqref="B55"/>
    </sheetView>
  </sheetViews>
  <sheetFormatPr defaultColWidth="12.140625" defaultRowHeight="15" customHeight="1" x14ac:dyDescent="0.25"/>
  <cols>
    <col min="1" max="1" width="32.42578125" customWidth="1"/>
    <col min="2" max="2" width="118.140625" customWidth="1"/>
  </cols>
  <sheetData>
    <row r="1" spans="1:2" ht="34.5" x14ac:dyDescent="0.25">
      <c r="A1" s="21" t="s">
        <v>274</v>
      </c>
      <c r="B1" s="20"/>
    </row>
    <row r="2" spans="1:2" x14ac:dyDescent="0.25">
      <c r="A2" s="22" t="s">
        <v>280</v>
      </c>
      <c r="B2" s="22" t="s">
        <v>281</v>
      </c>
    </row>
    <row r="3" spans="1:2" x14ac:dyDescent="0.25">
      <c r="A3" s="20" t="s">
        <v>282</v>
      </c>
      <c r="B3" s="20" t="s">
        <v>283</v>
      </c>
    </row>
    <row r="4" spans="1:2" x14ac:dyDescent="0.25">
      <c r="A4" s="20" t="s">
        <v>282</v>
      </c>
      <c r="B4" s="20" t="s">
        <v>284</v>
      </c>
    </row>
    <row r="5" spans="1:2" x14ac:dyDescent="0.25">
      <c r="A5" s="20" t="s">
        <v>282</v>
      </c>
      <c r="B5" s="20" t="s">
        <v>285</v>
      </c>
    </row>
    <row r="6" spans="1:2" x14ac:dyDescent="0.25">
      <c r="A6" s="20" t="s">
        <v>282</v>
      </c>
      <c r="B6" s="20" t="s">
        <v>286</v>
      </c>
    </row>
    <row r="7" spans="1:2" x14ac:dyDescent="0.25">
      <c r="A7" s="20" t="s">
        <v>287</v>
      </c>
      <c r="B7" s="20" t="s">
        <v>288</v>
      </c>
    </row>
    <row r="8" spans="1:2" x14ac:dyDescent="0.25">
      <c r="A8" s="20" t="s">
        <v>0</v>
      </c>
      <c r="B8" s="20" t="s">
        <v>289</v>
      </c>
    </row>
    <row r="9" spans="1:2" ht="30" x14ac:dyDescent="0.25">
      <c r="A9" s="20" t="s">
        <v>290</v>
      </c>
      <c r="B9" s="20" t="s">
        <v>291</v>
      </c>
    </row>
    <row r="10" spans="1:2" ht="30" x14ac:dyDescent="0.25">
      <c r="A10" s="20" t="s">
        <v>10</v>
      </c>
      <c r="B10" s="20" t="s">
        <v>292</v>
      </c>
    </row>
    <row r="11" spans="1:2" x14ac:dyDescent="0.25">
      <c r="A11" s="20" t="s">
        <v>221</v>
      </c>
      <c r="B11" s="20" t="s">
        <v>293</v>
      </c>
    </row>
    <row r="12" spans="1:2" ht="30" x14ac:dyDescent="0.25">
      <c r="A12" s="20" t="s">
        <v>294</v>
      </c>
      <c r="B12" s="20" t="s">
        <v>295</v>
      </c>
    </row>
    <row r="13" spans="1:2" x14ac:dyDescent="0.25">
      <c r="A13" s="20" t="s">
        <v>294</v>
      </c>
      <c r="B13" s="20" t="s">
        <v>296</v>
      </c>
    </row>
    <row r="14" spans="1:2" x14ac:dyDescent="0.25">
      <c r="A14" s="20" t="s">
        <v>50</v>
      </c>
      <c r="B14" s="20" t="s">
        <v>297</v>
      </c>
    </row>
    <row r="15" spans="1:2" ht="30" x14ac:dyDescent="0.25">
      <c r="A15" s="20" t="s">
        <v>24</v>
      </c>
      <c r="B15" s="20" t="s">
        <v>298</v>
      </c>
    </row>
    <row r="16" spans="1:2" x14ac:dyDescent="0.25">
      <c r="A16" s="20" t="s">
        <v>24</v>
      </c>
      <c r="B16" s="20" t="s">
        <v>299</v>
      </c>
    </row>
    <row r="17" spans="1:2" ht="30" x14ac:dyDescent="0.25">
      <c r="A17" s="20" t="s">
        <v>24</v>
      </c>
      <c r="B17" s="20" t="s">
        <v>300</v>
      </c>
    </row>
    <row r="18" spans="1:2" ht="30" x14ac:dyDescent="0.25">
      <c r="A18" s="20" t="s">
        <v>93</v>
      </c>
      <c r="B18" s="20" t="s">
        <v>301</v>
      </c>
    </row>
    <row r="19" spans="1:2" ht="30" x14ac:dyDescent="0.25">
      <c r="A19" s="20" t="s">
        <v>11</v>
      </c>
      <c r="B19" s="20" t="s">
        <v>302</v>
      </c>
    </row>
    <row r="20" spans="1:2" ht="30" x14ac:dyDescent="0.25">
      <c r="A20" s="20" t="s">
        <v>92</v>
      </c>
      <c r="B20" s="20" t="s">
        <v>303</v>
      </c>
    </row>
    <row r="21" spans="1:2" x14ac:dyDescent="0.25">
      <c r="A21" s="20" t="s">
        <v>129</v>
      </c>
      <c r="B21" s="20" t="s">
        <v>304</v>
      </c>
    </row>
    <row r="22" spans="1:2" x14ac:dyDescent="0.25">
      <c r="A22" s="20" t="s">
        <v>305</v>
      </c>
      <c r="B22" s="20" t="s">
        <v>306</v>
      </c>
    </row>
  </sheetData>
  <pageMargins left="0.7" right="0.7" top="0.75" bottom="0.75" header="0.3" footer="0.3"/>
  <headerFooter>
    <oddFooter>&amp;C_x000D_&amp;1#&amp;"Aptos"&amp;8&amp;K000000 Nokia internal use</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71c5aaf6-e6ce-465b-b873-5148d2a4c105">AUIRPTAIMRO3-1066683228-25558</_dlc_DocId>
    <HideFromDelve xmlns="71c5aaf6-e6ce-465b-b873-5148d2a4c105">false</HideFromDelve>
    <_dlc_DocIdUrl xmlns="71c5aaf6-e6ce-465b-b873-5148d2a4c105">
      <Url>https://nokia.sharepoint.com/sites/CGT39/_layouts/15/DocIdRedir.aspx?ID=AUIRPTAIMRO3-1066683228-25558</Url>
      <Description>AUIRPTAIMRO3-1066683228-25558</Description>
    </_dlc_DocIdUrl>
    <lcf76f155ced4ddcb4097134ff3c332f xmlns="4a0c25b5-f40f-4aa1-8c63-969f2512d63e">
      <Terms xmlns="http://schemas.microsoft.com/office/infopath/2007/PartnerControls"/>
    </lcf76f155ced4ddcb4097134ff3c332f>
    <TaxCatchAll xmlns="71c5aaf6-e6ce-465b-b873-5148d2a4c10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C9E45C7454FD54C9F3832CA2EC2299C" ma:contentTypeVersion="18" ma:contentTypeDescription="Create a new document." ma:contentTypeScope="" ma:versionID="598b0ce14474b8a06003600b576ad2b7">
  <xsd:schema xmlns:xsd="http://www.w3.org/2001/XMLSchema" xmlns:xs="http://www.w3.org/2001/XMLSchema" xmlns:p="http://schemas.microsoft.com/office/2006/metadata/properties" xmlns:ns2="71c5aaf6-e6ce-465b-b873-5148d2a4c105" xmlns:ns3="4a0c25b5-f40f-4aa1-8c63-969f2512d63e" xmlns:ns4="98344022-9d6c-42ca-8763-b68a110aeabc" targetNamespace="http://schemas.microsoft.com/office/2006/metadata/properties" ma:root="true" ma:fieldsID="3f3517c15821bb310180c621d8d765fa" ns2:_="" ns3:_="" ns4:_="">
    <xsd:import namespace="71c5aaf6-e6ce-465b-b873-5148d2a4c105"/>
    <xsd:import namespace="4a0c25b5-f40f-4aa1-8c63-969f2512d63e"/>
    <xsd:import namespace="98344022-9d6c-42ca-8763-b68a110aeabc"/>
    <xsd:element name="properties">
      <xsd:complexType>
        <xsd:sequence>
          <xsd:element name="documentManagement">
            <xsd:complexType>
              <xsd:all>
                <xsd:element ref="ns2:HideFromDelve" minOccurs="0"/>
                <xsd:element ref="ns3:MediaServiceMetadata" minOccurs="0"/>
                <xsd:element ref="ns3:MediaServiceFastMetadata" minOccurs="0"/>
                <xsd:element ref="ns4:SharedWithUsers" minOccurs="0"/>
                <xsd:element ref="ns4:SharedWithDetails"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c5aaf6-e6ce-465b-b873-5148d2a4c105" elementFormDefault="qualified">
    <xsd:import namespace="http://schemas.microsoft.com/office/2006/documentManagement/types"/>
    <xsd:import namespace="http://schemas.microsoft.com/office/infopath/2007/PartnerControls"/>
    <xsd:element name="HideFromDelve" ma:index="8" nillable="true" ma:displayName="HideFromDelve" ma:default="0" ma:internalName="HideFromDelve">
      <xsd:simpleType>
        <xsd:restriction base="dms:Boolean"/>
      </xsd:simpleType>
    </xsd:element>
    <xsd:element name="TaxCatchAll" ma:index="17" nillable="true" ma:displayName="Taxonomy Catch All Column" ma:hidden="true" ma:list="{b30ead92-cf25-42bf-9b42-06bca6111906}" ma:internalName="TaxCatchAll" ma:showField="CatchAllData" ma:web="98344022-9d6c-42ca-8763-b68a110aeabc">
      <xsd:complexType>
        <xsd:complexContent>
          <xsd:extension base="dms:MultiChoiceLookup">
            <xsd:sequence>
              <xsd:element name="Value" type="dms:Lookup" maxOccurs="unbounded" minOccurs="0" nillable="true"/>
            </xsd:sequence>
          </xsd:extension>
        </xsd:complexContent>
      </xsd:complexType>
    </xsd:element>
    <xsd:element name="_dlc_DocId" ma:index="24" nillable="true" ma:displayName="Document ID Value" ma:description="The value of the document ID assigned to this item." ma:indexed="true" ma:internalName="_dlc_DocId" ma:readOnly="true">
      <xsd:simpleType>
        <xsd:restriction base="dms:Text"/>
      </xsd:simpleType>
    </xsd:element>
    <xsd:element name="_dlc_DocIdUrl" ma:index="25"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6"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a0c25b5-f40f-4aa1-8c63-969f2512d63e"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4c87397-5fc1-491e-85e7-d6110dbe9c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8344022-9d6c-42ca-8763-b68a110aeab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34c87397-5fc1-491e-85e7-d6110dbe9cbd" ContentTypeId="0x0101" PreviousValue="false"/>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00212693-9A04-49E1-8889-2B5CE2179943}">
  <ds:schemaRefs>
    <ds:schemaRef ds:uri="http://schemas.microsoft.com/sharepoint/v3/contenttype/forms"/>
  </ds:schemaRefs>
</ds:datastoreItem>
</file>

<file path=customXml/itemProps2.xml><?xml version="1.0" encoding="utf-8"?>
<ds:datastoreItem xmlns:ds="http://schemas.openxmlformats.org/officeDocument/2006/customXml" ds:itemID="{DEAC870E-20A6-413C-B639-D560014F1A64}">
  <ds:schemaRefs>
    <ds:schemaRef ds:uri="http://schemas.microsoft.com/office/2006/metadata/properties"/>
    <ds:schemaRef ds:uri="http://schemas.microsoft.com/office/infopath/2007/PartnerControls"/>
    <ds:schemaRef ds:uri="71c5aaf6-e6ce-465b-b873-5148d2a4c105"/>
    <ds:schemaRef ds:uri="4a0c25b5-f40f-4aa1-8c63-969f2512d63e"/>
  </ds:schemaRefs>
</ds:datastoreItem>
</file>

<file path=customXml/itemProps3.xml><?xml version="1.0" encoding="utf-8"?>
<ds:datastoreItem xmlns:ds="http://schemas.openxmlformats.org/officeDocument/2006/customXml" ds:itemID="{15AD6385-0C64-4344-9EFB-A995A9D73E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1c5aaf6-e6ce-465b-b873-5148d2a4c105"/>
    <ds:schemaRef ds:uri="4a0c25b5-f40f-4aa1-8c63-969f2512d63e"/>
    <ds:schemaRef ds:uri="98344022-9d6c-42ca-8763-b68a110aeab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206293D-C2BD-4A18-87E2-049D4E2924C4}">
  <ds:schemaRefs>
    <ds:schemaRef ds:uri="Microsoft.SharePoint.Taxonomy.ContentTypeSync"/>
  </ds:schemaRefs>
</ds:datastoreItem>
</file>

<file path=customXml/itemProps5.xml><?xml version="1.0" encoding="utf-8"?>
<ds:datastoreItem xmlns:ds="http://schemas.openxmlformats.org/officeDocument/2006/customXml" ds:itemID="{4FEF070B-3FE9-48F0-B828-11286F698DFA}">
  <ds:schemaRefs>
    <ds:schemaRef ds:uri="http://schemas.microsoft.com/sharepoint/events"/>
  </ds:schemaRefs>
</ds:datastoreItem>
</file>

<file path=docMetadata/LabelInfo.xml><?xml version="1.0" encoding="utf-8"?>
<clbl:labelList xmlns:clbl="http://schemas.microsoft.com/office/2020/mipLabelMetadata">
  <clbl:label id="{4610b643-e0dc-49a3-bdd7-06f3c6cb789f}" enabled="1" method="Privileged" siteId="{5d471751-9675-428d-917b-70f44f9630b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accords</vt:lpstr>
      <vt:lpstr>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Yacine El Mghazli (Nokia)</dc:creator>
  <cp:lastModifiedBy>Yacine El Mghazli (Nokia)</cp:lastModifiedBy>
  <dcterms:created xsi:type="dcterms:W3CDTF">2015-06-05T18:17:20Z</dcterms:created>
  <dcterms:modified xsi:type="dcterms:W3CDTF">2026-10-06T18:34:55Z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0x0101005C9E45C7454FD54C9F3832CA2EC2299C</vt:lpwstr>
  </property>
  <property fmtid="{D5CDD505-2E9C-101B-9397-08002B2CF9AE}" pid="4" name="_dlc_DocIdItemGuid">
    <vt:lpwstr>67e393dc-766b-495d-8075-1c82914eb938</vt:lpwstr>
  </property>
</Properties>
</file>