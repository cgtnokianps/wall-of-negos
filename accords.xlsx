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okia.sharepoint.com/sites/CGT39/Shared Documents/salariés/accords négociés/"/>
    </mc:Choice>
  </mc:AlternateContent>
  <xr:revisionPtr revIDLastSave="1436" documentId="11_F25DC773A252ABDACC1048A741DB65945BDE58FA" xr6:coauthVersionLast="47" xr6:coauthVersionMax="47" xr10:uidLastSave="{52B98D3D-5680-4D95-9DF0-AE8DAACC3B7D}"/>
  <bookViews>
    <workbookView xWindow="-28920" yWindow="-120" windowWidth="29040" windowHeight="15720" xr2:uid="{00000000-000D-0000-FFFF-FFFF00000000}"/>
  </bookViews>
  <sheets>
    <sheet name="accords" sheetId="1" r:id="rId1"/>
    <sheet name="rules" sheetId="2" r:id="rId2"/>
  </sheets>
  <definedNames>
    <definedName name="_xlnm._FilterDatabase" localSheetId="0" hidden="1">accords!$A$1:$P$31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27" i="1"/>
  <c r="L18" i="1"/>
  <c r="L31" i="1"/>
  <c r="F31" i="1"/>
  <c r="F30" i="1"/>
  <c r="F6" i="1"/>
  <c r="F29" i="1"/>
  <c r="F28" i="1"/>
  <c r="F3" i="1"/>
  <c r="F23" i="1"/>
  <c r="F4" i="1"/>
  <c r="F25" i="1"/>
  <c r="F7" i="1"/>
  <c r="F2" i="1"/>
  <c r="F19" i="1"/>
  <c r="F26" i="1"/>
  <c r="F24" i="1"/>
  <c r="F21" i="1"/>
  <c r="F20" i="1"/>
  <c r="F17" i="1"/>
  <c r="F18" i="1"/>
  <c r="F15" i="1"/>
  <c r="F22" i="1"/>
  <c r="F16" i="1"/>
  <c r="F14" i="1"/>
  <c r="F12" i="1"/>
  <c r="F11" i="1"/>
  <c r="F9" i="1"/>
  <c r="F8" i="1"/>
  <c r="F13" i="1"/>
  <c r="F10" i="1"/>
</calcChain>
</file>

<file path=xl/sharedStrings.xml><?xml version="1.0" encoding="utf-8"?>
<sst xmlns="http://schemas.openxmlformats.org/spreadsheetml/2006/main" count="303" uniqueCount="195">
  <si>
    <t>Accord ou négociation</t>
  </si>
  <si>
    <t>CGT</t>
  </si>
  <si>
    <t>CFDT</t>
  </si>
  <si>
    <t>CFE-CGC</t>
  </si>
  <si>
    <t>Égalité professionnelle</t>
  </si>
  <si>
    <t>À vérifier</t>
  </si>
  <si>
    <t>RCC 2023</t>
  </si>
  <si>
    <t>Don de jours</t>
  </si>
  <si>
    <t>RCC 2024</t>
  </si>
  <si>
    <t>Aménagement du temps de travail</t>
  </si>
  <si>
    <t>Déplacements du personnel itinérant</t>
  </si>
  <si>
    <t>-</t>
  </si>
  <si>
    <t>année</t>
  </si>
  <si>
    <t>Contenu</t>
  </si>
  <si>
    <t>date R1</t>
  </si>
  <si>
    <t>date VF</t>
  </si>
  <si>
    <t>Position CGT</t>
  </si>
  <si>
    <t>tract</t>
  </si>
  <si>
    <t>Non signataire (détail du vote interne non retrouvé).</t>
  </si>
  <si>
    <t>Pas d'accord signé. Enveloppe appliquée unilatéralement : 3,21 % cadres, 5 % non-cadres. Contestation des nombreux 0 % d'augmentation.</t>
  </si>
  <si>
    <t>Signataire (logique pragmatique), avec alertes : pressions au volontariat, décimation des équipes, absence de garanties sur les activités en France, lien RCC / absence d'augmentation.</t>
  </si>
  <si>
    <t>Projet d'accord d'harmonisation des bonus (TI) — document de travail retrouvé.</t>
  </si>
  <si>
    <t>Signataire : soutien à l'élargissement, demande d'un seuil préservant les congés des aidants.</t>
  </si>
  <si>
    <t>Comité Groupe France (NNF, ASN, RFS). Dénoncé en 2025 (sortie d'ASN, fermeture de RFS).</t>
  </si>
  <si>
    <t>Signataire, pour maintenir une instance d'examen des résultats des sociétés françaises du groupe.</t>
  </si>
  <si>
    <t>Nouvelle réduction d'effectifs : 231 suppressions de postes en 2024.</t>
  </si>
  <si>
    <t>Signataire, puis bilan critique : délocalisations, perte de savoir-faire, charge de travail, RPS, externalisations.</t>
  </si>
  <si>
    <t>Contenu, dates et versions à retrouver.</t>
  </si>
  <si>
    <t>Signataire (confirmé par le bilan annuel).</t>
  </si>
  <si>
    <t>Calendrier et principales modifications à documenter.</t>
  </si>
  <si>
    <t>Signataire.</t>
  </si>
  <si>
    <t>Non signataire : désaccords sur la classification et la cotation.</t>
  </si>
  <si>
    <t>Calendrier, contenu final et signataires à retrouver.</t>
  </si>
  <si>
    <t>Non signataire.</t>
  </si>
  <si>
    <t>Non signataire : rapport de force jugé suffisant pour obtenir plus, refus de l'absence d'indexation, aide non renouvelable.</t>
  </si>
  <si>
    <t>Refus : perte d'environ 4 % de pouvoir d'achat depuis 2021, trop d'individuel, pas de mesure générale. Blocage des calendriers (~600 salariés).</t>
  </si>
  <si>
    <t>Contestation : pas d'engagement d'embauche ni de remplacement des départs, garanties insuffisantes sur les activités en France.</t>
  </si>
  <si>
    <t>Défavorable : épargne individualisée, rémunération « TTC », préférence pour un 13e mois cotisé. Vote non retrouvé.</t>
  </si>
  <si>
    <t>Défavorable : retraite par capitalisation, perte de cotisations sociales. Vote non retrouvé.</t>
  </si>
  <si>
    <t>Refus : suppressions massives, RCC répétitives, pas de garantie d'emploi ni d'embauche, pressions au volontariat.</t>
  </si>
  <si>
    <t>Non signataire de l'accord et de l'avenant.</t>
  </si>
  <si>
    <t>Refus de principe : « RCC 2026, c'est toujours non ».</t>
  </si>
  <si>
    <t>Refus : mesures insuffisantes et trop individualisées. Demande intersyndicale des statistiques réelles d'application.</t>
  </si>
  <si>
    <t>À vérifier : correction demandée (« salaire fixe » au lieu de « salaire de base »).</t>
  </si>
  <si>
    <t>Enveloppe d'environ 2 % (0,68 % après inflation). Signature CFDT isolée, non majoritaire.</t>
  </si>
  <si>
    <t>À vérifier : critique d'une négociation rapide, dernier round supprimé, pas de texte final avant le vote, risque de monétisation des congés.</t>
  </si>
  <si>
    <t>Signataire (confirmation par courriel).</t>
  </si>
  <si>
    <t>La restauration sort des activités sociales et culturelles des CSE d'établissement et passe à la Direction. Budget ASC et commission restauration revus.</t>
  </si>
  <si>
    <t>195 suppressions de postes ; volontariat à l'automne 2026 ; fin de carrière jusqu'à 250 000 €.</t>
  </si>
  <si>
    <t>Signataire (vote en AG extraordinaire du 21/05/2026).</t>
  </si>
  <si>
    <t>site</t>
  </si>
  <si>
    <t>NNF</t>
  </si>
  <si>
    <t>NPS</t>
  </si>
  <si>
    <t>Signataire (accord signé par toutes les OS représentatives).</t>
  </si>
  <si>
    <t>Handicap</t>
  </si>
  <si>
    <t>Avenant nº 1 – CSE (21 septembre 2018)</t>
  </si>
  <si>
    <t>Plan d'Epargne Retraite d'Entreprise Collectif (PERCOL)</t>
  </si>
  <si>
    <t>Plan d'Epargne Entreprise (PEE)</t>
  </si>
  <si>
    <t>CET</t>
  </si>
  <si>
    <t>GEPP – PV de désaccord</t>
  </si>
  <si>
    <t>Avenant télétravail (avril 2022)</t>
  </si>
  <si>
    <t>Partage de la valeur – PV de désaccord</t>
  </si>
  <si>
    <t>Nouvelle convention collective (accord-cadre)</t>
  </si>
  <si>
    <t>Intéressement 2025-2028</t>
  </si>
  <si>
    <t>Comité Groupe France (CGF)</t>
  </si>
  <si>
    <t>Substitution non-cadres</t>
  </si>
  <si>
    <t>Remboursement santé</t>
  </si>
  <si>
    <t>NAO 2026 – Procès-verbal d'accord</t>
  </si>
  <si>
    <t>NAO 2025 – PV de désaccord</t>
  </si>
  <si>
    <t>NAO 2023 – PV de désaccord</t>
  </si>
  <si>
    <t>RCC 2026 n°1 (signée en décembre 2025)</t>
  </si>
  <si>
    <t>RCC 2026 n°2</t>
  </si>
  <si>
    <t>Avenant à la RCC 2026 n°1</t>
  </si>
  <si>
    <t>Renouvellement de la politique handicap NNF (1er accord agréé en 2006 ; taux d'emploi &gt; 6 % depuis 2020). Rôles des acteurs : salariés, people managers, santé au travail, service social, Mission handicap. Négocié du 5 juin 2025 au 16 février 2026. Avancée principale : cotisations retraite prises en charge à 100 % en temps partiel choisi (TPC).</t>
  </si>
  <si>
    <t>Pas d'augmentation générale. Budget d'augmentations individuelles de 2,15 % des TTC, promotions incluses (1,85 % en cas de PV de désaccord), au 1er avril 2026. Maintien du Graduate Pay Program et de l'Unexplained Pay Gap. Primes de transport revalorisées : zone 1 à 9 €, zone 2 à 12 €, zone 3 à 60 €.</t>
  </si>
  <si>
    <t>Refonte du CET (réunions des 5 et 11 juin 2025) : ouverture après 6 mois de présence ; jour supplémentaire NPS/Lannion placé au CET ; liquidation monétaire partielle 1 fois par an (campagne de juin), 10 jours maximum ; 5e semaine de congés non monétisable.</t>
  </si>
  <si>
    <t>Exercices 2025, 2026 et 2027. Enveloppe maximale = 4 % de la masse salariale × [CA vs objectif plan France (50 %) + brevets et publications (25 %) + ratio mobilité durable (25 %)]. Répartition : 50 % selon la durée de présence, 50 % selon le salaire.</t>
  </si>
  <si>
    <t>Avenant n°1 à la RCC du 19/12/2025, suite aux observations de l'inspection du travail (réunion du 14/01/2026) : modifie uniquement l'article 2.5 « Réponse apportée au salarié » (partie VI – départs volontaires).</t>
  </si>
  <si>
    <t>Accord majoritaire CFDT + CFE-CGC du 19/12/2025 : 421 départs volontaires maximum. Éligibilité selon les organisations au 19/11/2025 ; candidatures jusqu'au 28/02/2026 ; départs d'avril à fin juin 2026. Congé de mobilité, congé de fin de carrière (CFC) ; cabinets Adventia (Paris-Saclay) et Catalys (Lannion).</t>
  </si>
  <si>
    <t>PERCOL propre à NNF, conclu après la dénonciation (25/02/2025) de l'accord CGF du 15/03/2024 (sortie d'ASN au 01/01/2025, fermeture de RFS au 30/06/2025 ; NNF seule entité depuis le 01/07/2025). Gestion libre / pilotée, abondement, transfert collectif des avoirs (annexes : instruments de placement, PV de transfert).</t>
  </si>
  <si>
    <t>PEE propre à NNF (transformation du PEG après la dénonciation de l'accord CGF) ; sélection des fonds (fonds ISR) ; abondement concentré sur l'actionnariat Nokia.</t>
  </si>
  <si>
    <t>Pas d'accord majoritaire : PV de désaccord de la négociation GEPP, signé par la DRH et les DSC CFDT, CFE-CGC et CGT.</t>
  </si>
  <si>
    <t>Avenant à l'accord télétravail d'avril 2022 : réécriture de l'article 4.1 – aide à l'équipement de 300 € remboursée sur note de frais (magasin au choix, en une fois, dans les 6 mois) ; indemnité de télétravail portée de 4 € à 4,40 €, sans indexation automatique (revalorisation possible en NAO).</t>
  </si>
  <si>
    <t>Accord-cadre NPS de mise en conformité des accords existants avec la nouvelle convention collective de la métallurgie : « cadres » → groupes F à I, « non-cadres / mensuels » → groupes A à E. Durée indéterminée.</t>
  </si>
  <si>
    <t>Accord signé le 14/11/2024 (dispositif existant depuis octobre 2017) : don de jours élargi aux aidants d'un enfant, d'un partenaire de vie ou d'un parent ; évaluation par le service social ; plafonds de 20 ou 10 jours ; commission paritaire pour les cas hors cadre. Compteur &gt; 900 jours.</t>
  </si>
  <si>
    <t>Accord de substitution pour les non-cadres (groupes d'emploi A à E) lié à la nouvelle convention collective de la métallurgie. Signé par toutes les organisations syndicales représentatives.</t>
  </si>
  <si>
    <t>Accord signé par la CFDT et la CGT, validé par la DRIEETS le 01/08/2023 : jusqu'à 173 départs volontaires ; 1re période de volontariat jusqu'au 15/10/2023, 2e du 17/10 au 14/11/2023 ; congé de mobilité ; parcours retraite ; aides formation/création/mobilité ; cabinet Adventia ; commission de suivi ; pas de licenciement économique contraint.</t>
  </si>
  <si>
    <t>Accord majoritaire CFDT + CFE-CGC du 12/04/2023, pour 4 ans : référent égalité, « Groupe Égalité », objectif d'embauches de femmes aligné sur le groupe, 80 % des managers formés, revue de l'ASR, indicateurs de suivi (référence 2023).</t>
  </si>
  <si>
    <t>Mise à jour de la protection sociale santé (nouvelle convention collective, 01/01/2023) : canton La Boétie (49 entreprises) géré par Malakoff Humanis et piloté par une commission paritaire (CPT). Remplace l'accord de 1989 et ses avenants.</t>
  </si>
  <si>
    <t>Accord NPS 2025 sur l'aménagement du temps de travail : journée de solidarité fixée au lundi de Pentecôte 09/06/2025 (7 h).</t>
  </si>
  <si>
    <t>Source signatures</t>
  </si>
  <si>
    <t>Annonce officielle (publication Viva Engage : « signé par les organisations syndicales représentatives ») + vote AG CGT du 21/05/2026</t>
  </si>
  <si>
    <t>Signature électronique (courriel Direction du 09/07/2026 : passage en e-signature après retours positifs des DSC)</t>
  </si>
  <si>
    <t>Courriel de confirmation (CGT) ; PV d'accord NAO 2026 non lisible pour CFDT / CFE-CGC</t>
  </si>
  <si>
    <t>Courriel officiel Direction : avenant signé le 15/01/2026 « par les mêmes organisations syndicales représentatives majoritaires » (CFDT, CFE-CGC)</t>
  </si>
  <si>
    <t>PV de désaccord 2025 (texte) + courriel DSC CGT (P. Mulot) : pas d'accord majoritaire</t>
  </si>
  <si>
    <t>PV de désaccord NAO 2025 (texte) : accord du 20/03/2025 signé par la seule CFDT, non majoritaire</t>
  </si>
  <si>
    <t>Communication officielle Direction : « les organisations syndicales représentatives ont signé un nouvel accord d'intéressement »</t>
  </si>
  <si>
    <t>Bilan annuel CGT (CGT signataire) ; autres OS à vérifier</t>
  </si>
  <si>
    <t>Source à préciser</t>
  </si>
  <si>
    <t>Publication CFDT France (Viva Engage) : « signé par l'ensemble des organisations syndicales représentatives »</t>
  </si>
  <si>
    <t>Page officielle HR Services RCC 2023 : « signé par les Organisations Syndicales Représentatives CFDT et CGT »</t>
  </si>
  <si>
    <t>Texte officiel : préambule de l'avenant santé 2025 (« signé le 17/11/2022 par l'ensemble des OSR »)</t>
  </si>
  <si>
    <t>À vérifier (aucune source trouvée)</t>
  </si>
  <si>
    <t>PDF signé « Accord_RCC_2026 » (Adobe Sign, 16/07/2026), p. 54 : signatures CFDT (S. Regnouard, R. Tutrel) et CFE-CGC (V. Gervais-Bazin) ; bloc CGT vide</t>
  </si>
  <si>
    <t>PDF signé (scan), p. 52 : signatures CFDT et CFE-CGC ; bloc CGT vide — confirmé par l'avenant et la décision DREETS (76,51 %)</t>
  </si>
  <si>
    <t>PDF signé (scan) du 24/02/2025, p. 7 : signatures CFDT et CFE-CGC ; bloc CGT vide (+ courriel Direction du 03/03/2025)</t>
  </si>
  <si>
    <t>PDF « Accord cadre NPS … 2024 signé » (scan, 29/02/2024), p. 6 : signatures CFDT, CFE-CGC, CGT et CFTC (accord d'établissement Paris-Saclay)</t>
  </si>
  <si>
    <t>PDF signé (scan, 08/12/2023), p. 4 : signatures CFDT, CFE-CGC, CGT et CFTC</t>
  </si>
  <si>
    <t>PDF « Accord don de jours 14 novembre 2024 signé » (scan), p. 11 : signatures CFDT, CFE-CGC et CGT</t>
  </si>
  <si>
    <t>PDF signé (scan, 13/04/2023), p. 20 : signatures CFDT (R. Tutrel) et CFE-CGC ; bloc CGT vide</t>
  </si>
  <si>
    <t>À vérifier : seule la version « mise à la signature » (non signée, 20/01/2025) a été trouvée</t>
  </si>
  <si>
    <t>file name</t>
  </si>
  <si>
    <t>Accord_RCC_2026.pdf</t>
  </si>
  <si>
    <t>Avenant nº 1 à l'Accord CSE du 21 septembre 2018.pdf</t>
  </si>
  <si>
    <t>Accord collectif portant sur une Rupture Conventionnelle Collective (RCC) au sein de Nokia Networks France (compressé).pdf</t>
  </si>
  <si>
    <t>Accord d'entreprise relatif au Plan d'Epargne Retraite d'Entreprise Collectif PERCOL (16 décembre 2025).pdf</t>
  </si>
  <si>
    <t>Accord d'entreprise relatif au Plan d'Epargne Entreprise au sein de Nokia Networks France (16 décembre 2025).pdf</t>
  </si>
  <si>
    <t>Accord CET (24 juillet 2025).pdf</t>
  </si>
  <si>
    <t>Procès verbal NAO (désaccord) 2025 (27 mars 2025).pdf</t>
  </si>
  <si>
    <t>PV désaccord Partage de la valeur VS.pdf</t>
  </si>
  <si>
    <t>Accord cadre NPS nouvelle convention collective- 2024 signé.pdf</t>
  </si>
  <si>
    <t>Accord d'intéressement 2025-2028.pdf</t>
  </si>
  <si>
    <t>Accord aménagement temps travail NPS 2024.pdf</t>
  </si>
  <si>
    <t>Accord don de jours 14 novembre 2024.pdf</t>
  </si>
  <si>
    <t>NAO 2023 - PV désaccord.pdf</t>
  </si>
  <si>
    <t>Accord égalité professionnelle.pdf</t>
  </si>
  <si>
    <t>NAO_2026_Procès_verbal_d_accord_24 janvier_2026.pdf</t>
  </si>
  <si>
    <t>Accord RCC 2024 (19 avril 2024).pdf</t>
  </si>
  <si>
    <t>Accord de substitution non cadres - 30 novembre 2023.pdf</t>
  </si>
  <si>
    <t>Validité</t>
  </si>
  <si>
    <t>preview pdf</t>
  </si>
  <si>
    <t>https://nokia.sharepoint.com/sites/HRLibrary/Controlled%20Documents/HR%20Regions/Europe%20South/France/HR%20SOPs-Guidelines-Policy/Harmonized/Accords%20conventions%202025/Accord%20CET%20(24%20juillet%202025).pdf</t>
  </si>
  <si>
    <t>https://nokia.sharepoint.com/sites/HRLibrary/Controlled%20Documents/HR%20Regions/Europe%20South/France/HR%20SOPs-Guidelines-Policy/Harmonized/Accords%20conventions%202024/Accord%20cadre%20NPS%20nouvelle%20convention%20collective-%202024%20sign%C3%A9.pdf</t>
  </si>
  <si>
    <t>https://nokia.sharepoint.com/sites/HRLibrary/Controlled%20Documents/HR%20Regions/Europe%20South/France/HR%20SOPs-Guidelines-Policy/Harmonized/Accords%20conventions%202025/Accord%20d%27int%C3%A9ressement%202025-2028.pdf</t>
  </si>
  <si>
    <t>https://nokia.sharepoint.com/sites/HRLibrary/Controlled%20Documents/HR%20Regions/Europe%20South/France/HR%20SOPs-Guidelines-Policy/Harmonized/Accords%20conventions%202024/Accord%20am%C3%A9nagement%20temps%20travail%20NPS%202024.pdf</t>
  </si>
  <si>
    <t/>
  </si>
  <si>
    <t>URL</t>
  </si>
  <si>
    <t>NAO 2024 – PV de désaccord</t>
  </si>
  <si>
    <t>Pas d'accord : PV de désaccord NAO 2024 (dernière réunion le 07-08/02/2024), puis avenant au PV négocié le 02/04/2024. Augmentation moyenne jugée « pitoyable » ; mobilisation intersyndicale CFDT / CFE-CGC / CGT en mars 2024.</t>
  </si>
  <si>
    <t>À vérifier : mobilisation intersyndicale contre la faiblesse des augmentations.</t>
  </si>
  <si>
    <t>Note de service Direction NPS du 21/02/2023 : « signature unanime d'un accord »</t>
  </si>
  <si>
    <t>Accord NPS 2023 : 2 JRTT/JRS collectifs (vendredi 19/05/2023 – pont de l'Ascension, et lundi 17/07/2023) ; journée supplémentaire payée (CTG) grâce à la signature ; journée de solidarité le lundi 29/05/2023.</t>
  </si>
  <si>
    <t>Signataire (signature unanime).</t>
  </si>
  <si>
    <t>Courriel Direction (M. Cudot) du 09/02/2024 (réunions des 06/12/2023, 25/01 et 08/02/2024) ; Bilan social NNF 2024 (liste des accords conclus en 2024) : « NAO 2024 - Procès verbal de désaccord (15 février 2024) » ; signataires à vérifier</t>
  </si>
  <si>
    <t>Accord Aménagement Temps Travail NPS 2026 (19 décembre 2025).pdf</t>
  </si>
  <si>
    <t>PDF signé (scan, Massy, 19/12/2025), p. 3 : signatures CFDT, CFE-CGC, CGT et CFTC (+ Direction S. Bermond)</t>
  </si>
  <si>
    <t>Accord d'établissement Nokia Paris-Saclay (Massy, Nozay) signé le 19/12/2025 (réunions des 28/11 et 17/12/2025) : 1 JRTT/JRS collectif fixé au vendredi 15/05/2026 (pont de l'Ascension) ; journée de solidarité le lundi de Pentecôte 25/05/2026. S'appuie sur l'accord ARTT Paris-Saclay du 09/01/2001 (3 JRTT/JRS collectifs maximum).</t>
  </si>
  <si>
    <t>https://nokia.sharepoint.com/sites/HRLibrary/Controlled%20Documents/HR%20Regions/Europe%20South/France/HR%20SOPs-Guidelines-Policy/Harmonized/Accords%20conventions%202026/NAO_2026_Proc%c3%a8s_verbal_d_accord_24%20janvier_2026.pdf</t>
  </si>
  <si>
    <t>https://nokia.sharepoint.com/sites/BDESENNF-Centrale/Shared%20Documents/01.%20BDESE%20Centrale/02%20-%20Investissements/01%20-%20Investissement%20social/Handicap/Accord%20handicap%202026.pdf</t>
  </si>
  <si>
    <t>https://nokia.sharepoint.com/sites/CGT39/Shared%20Documents/salari%C3%A9s/accords%20n%C3%A9goci%C3%A9s/copies/GEPP%20PV%20de%20d%C3%A9saccord%20mis%20%C3%A0%20signature.pdf</t>
  </si>
  <si>
    <t>https://nokia.sharepoint.com/sites/HRLibrary/Controlled%20Documents/HR%20Regions/Europe%20South/France/HR%20SOPs-Guidelines-Policy/Harmonized/Accords%20conventions%202022/Accord%20%C3%A9tablissement%20am%C3%A9nagement%20temps%20de%20travail%202022.pdf</t>
  </si>
  <si>
    <t>https://nokia.sharepoint.com/sites/HRLibrary/Controlled%20Documents/HR%20Regions/Europe%20South/France/HR%20SOPs-Guidelines-Policy/Harmonized/Accords%20conventions%202023/Accord%20%C3%A9galit%C3%A9%20professionnelle.pdf</t>
  </si>
  <si>
    <t>https://nokia.sharepoint.com/sites/HRLibrary/Controlled%20Documents/HR%20Regions/Europe%20South/France/HR%20SOPs-Guidelines-Policy/Harmonized/Accords%20conventions%202023/Accord%20remboursement%20sant%C3%A9%20-%202023.pdf</t>
  </si>
  <si>
    <t>https://nokia.sharepoint.com/sites/HRLibrary/Controlled%20Documents/HR%20Regions/Europe%20South/France/HR%20SOPs-Guidelines-Policy/Harmonized/Accords%20conventions%202025/Avenant%20accord%20t%c3%a9l%c3%a9travail%20avril%202022.pdf</t>
  </si>
  <si>
    <t>https://nokia.sharepoint.com/sites/HRLibrary/Controlled%20Documents/HR%20Regions/Europe%20South/France/Plan-de-transformation/RCC%202023/Accord%20RCC%202023.pdf</t>
  </si>
  <si>
    <t>https://nokia.sharepoint.com/sites/HRLibrary/Controlled%20Documents/HR%20Regions/Europe%20South/France/HR%20SOPs-Guidelines-Policy/Harmonized/Accords%20conventions%202023/Accord%20de%20substitution%20non%20cadres%20-%2030%20novembre%202023.pdf</t>
  </si>
  <si>
    <t>https://nokia.sharepoint.com/sites/HRLibrary/Controlled%20Documents/HR%20Regions/Europe%20South/France/Plan-de-transformation/RCC%202024/Accord%20RCC%202024%20(19%20avril%202024).pdf</t>
  </si>
  <si>
    <t>https://nokia.sharepoint.com/sites/HRLibrary/Controlled%20Documents/HR%20Regions/Europe%20South/France/HR%20SOPs-Guidelines-Policy/Harmonized/Accord%20CGF.pdf</t>
  </si>
  <si>
    <t>https://nokia.sharepoint.com/sites/HRLibrary/Controlled%20Documents/HR%20Regions/Europe%20South/France/Plan-de-transformation/RCC%202026/Accord_RCC_2026.pdf</t>
  </si>
  <si>
    <t>https://nokia.sharepoint.com/sites/CGT39/Shared%20Documents/salari%C3%A9s/accords%20n%C3%A9goci%C3%A9s/copies/PV%20d%C3%A9saccord%20Partage%20de%20la%20valeur%20VS.pdf</t>
  </si>
  <si>
    <t>https://nokia.sharepoint.com/sites/HRLibrary/Controlled%20Documents/HR%20Regions/Europe%20South/France/HR%20SOPs-Guidelines-Policy/Harmonized/Accords%20conventions%202023/NAO%202023%20-%20PV%20d%C3%A9saccord.pdf</t>
  </si>
  <si>
    <t>https://nokia.sharepoint.com/sites/HRLibrary/Controlled%20Documents/HR%20Regions/Europe%20South/France/HR%20SOPs-Guidelines-Policy/Harmonized/Accords%20conventions%202024/Accord%20don%20de%20jours%2014%20novembre%202024.pdf</t>
  </si>
  <si>
    <t>https://nokia.sharepoint.com/sites/HRLibrary/Controlled%20Documents/HR%20Regions/Europe%20South/France/HR%20SOPs-Guidelines-Policy/Harmonized/Accords%20conventions%202024/Avenant%20Proc%C3%A8s-verbal%20de%20d%C3%A9saccord%20NAO%202024%20(9%20avril%202024).pdf</t>
  </si>
  <si>
    <t>https://nokia.sharepoint.com/sites/HRLibrary/Controlled%20Documents/HR%20Regions/Europe%20South/France/HR%20SOPs-Guidelines-Policy/Harmonized/Accords%20conventions%202025/Accord%20d'entreprise%20relatif%20au%20Plan%20d'Epargne%20Entreprise%20au%20sein%20de%20Nokia%20Networks%20France%20(16%20d%c3%a9cembre%202025).pdf</t>
  </si>
  <si>
    <t>https://nokia.sharepoint.com/sites/HRLibrary/Controlled%20Documents/HR%20Regions/Europe%20South/France/HR%20SOPs-Guidelines-Policy/Harmonized/Accords%20conventions%202025/Accord%20d'entreprise%20relatif%20au%20Plan%20d'Epargne%20Retraite%20d'Entreprise%20Collectif%20PERCOL%20(16%20d%c3%a9cembre%202025).pdf</t>
  </si>
  <si>
    <t>https://nokia.sharepoint.com/sites/HRLibrary/Controlled%20Documents/HR%20Regions/Europe%20South/France/HR%20SOPs-Guidelines-Policy/Harmonized/Accords%20conventions%202025/Proc%C3%A8s%20verbal%20NAO%20(d%C3%A9saccord)%202025%20(27%20mars%202025).pdf</t>
  </si>
  <si>
    <t>https://nokia.sharepoint.com/sites/HRLibrary/Controlled%20Documents/HR%20Regions/Europe%20South/France/HR%20SOPs-Guidelines-Policy/Harmonized/Accords%20conventions%202026/Avenant%20n%c2%ba%201%20%c3%a0%20l'Accord%20CSE%20du%2021%20septembre%202018.pdf</t>
  </si>
  <si>
    <t>https://nokia.sharepoint.com/sites/HRLibrary/Controlled%20Documents/HR%20Regions/Europe%20South/France/HR%20SOPs-Guidelines-Policy/Harmonized/Temps%20de%20travail/Accord%20Am%C3%A9nagement%20Temps%20Travail%20NPS%202026%20(19%20d%C3%A9cembre%202025).pdf</t>
  </si>
  <si>
    <t>https://nokia.sharepoint.com/sites/HRLibrary/Controlled%20Documents/HR%20Regions/Europe%20South/France/Plan-de-transformation/RCC%202025/Accord%20collectif%20portant%20sur%20une%20Rupture%20Conventionnelle%20Collective%20(RCC)%20au%20sein%20de%20Nokia%20Networks%20France%20(compress%c3%a9).pdf</t>
  </si>
  <si>
    <t>https://nokia.sharepoint.com/:b:/r/sites/HRLibrary/Controlled%20Documents/HR%20Regions/Europe%20South/France/Plan-de-transformation/RCC%202025/Avenant%20RCC%202025.pdf</t>
  </si>
  <si>
    <t>https://nokia.sharepoint.com/sites/CGT39/Shared%20Documents/salariés/tracts%20diffusés/2023/Tract%20brèves%20de%20printemps.pdf</t>
  </si>
  <si>
    <t>https://nokia.sharepoint.com/sites/CGT39/Shared%20Documents/salari%C3%A9s/tracts%20diffus%C3%A9s/2026/2026_06_TRACT-RetourSondageRCC2026-2.pdf</t>
  </si>
  <si>
    <t>https://nokia.sharepoint.com/sites/CGT39/Shared%20Documents/salari%C3%A9s/tracts%20diffus%C3%A9s/2025/tract_pour_ceux_qui_restent.pdf</t>
  </si>
  <si>
    <t>https://nokia.sharepoint.com/sites/CGT39/Shared%20Documents/salari%C3%A9s/tracts%20diffus%C3%A9s/2025/tract_rcc_2026.pdf</t>
  </si>
  <si>
    <t>https://nokia.sharepoint.com/sites/CGT39/Shared%20Documents/salari%C3%A9s/tracts%20diffus%C3%A9s/2025/tract-salaires-2025.pdf</t>
  </si>
  <si>
    <t>https://nokia.sharepoint.com/sites/CGT39/Shared%20Documents/salari%C3%A9s/tracts%20diffus%C3%A9s/2025/tract-avenant-TL-v2.pdf</t>
  </si>
  <si>
    <t>https://nokia.sharepoint.com/sites/CGT39/Shared%20Documents/salari%C3%A9s/tracts%20diffus%C3%A9s/2024/tract_bilan_rcc24_v4.pdf</t>
  </si>
  <si>
    <t>https://nokia.sharepoint.com/sites/CGT39/Shared%20Documents/salari%C3%A9s/tracts%20diffus%C3%A9s/2023/ncc%20cotation%203.pdf</t>
  </si>
  <si>
    <t>https://nokia.sharepoint.com/sites/CGT39/Shared%20Documents/salari%C3%A9s/tracts%20diffus%C3%A9s/2023/Tract%20Volontariat%20RCC.pdf</t>
  </si>
  <si>
    <t>https://nokia.sharepoint.com/sites/CGT39/Shared%20Documents/salari%C3%A9s/tracts%20diffus%C3%A9s/2023/Tract%20br%C3%A8ves%20de%20printemps.pdf</t>
  </si>
  <si>
    <t>Accord CGF.pdf</t>
  </si>
  <si>
    <t>Accord établissement aménagement temps de travail 2022.pdf</t>
  </si>
  <si>
    <t>Avenant RCC 2025.pdf</t>
  </si>
  <si>
    <t>GEPP PV de désaccord mis à signature.pdf</t>
  </si>
  <si>
    <t>Avenant accord télétravail avril 2022.pdf</t>
  </si>
  <si>
    <t>2025 Accord etablissement NAO Mis à la signature.pdf</t>
  </si>
  <si>
    <t>Avenant Procès-verbal de désaccord NAO 2024 (9 avril 2024).pdf</t>
  </si>
  <si>
    <t>Accord RCC 2023.pdf</t>
  </si>
  <si>
    <t>Accord remboursement santé - 2023.pdf</t>
  </si>
  <si>
    <t>Accord harmonisation taux variable cible.pdf</t>
  </si>
  <si>
    <t>Accord collectif portant sur l’harmonisation des taux de variable cible des salariés « non sales » au regard de leur job grade</t>
  </si>
  <si>
    <t>https://nokia.sharepoint.com/sites/CGT39/Shared%20Documents/salari%C3%A9s/accords%20n%C3%A9goci%C3%A9s/copies/Accord%20harmonisation%20taux%20variable%20cible.pdf</t>
  </si>
  <si>
    <t>https://nokia.sharepoint.com/sites/CGT39/Shared%20Documents/salari%C3%A9s/accords%20n%C3%A9goci%C3%A9s/copies/2025%20Accord%20etablissement%20NAO%20Mis%20%C3%A0%20la%20signature.pdf</t>
  </si>
  <si>
    <t>ACCORD HANDICAP VERSION REVUE LE 8 juin 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</si>
</sst>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/>
    </xf>
    <xf numFmtId="49" fontId="6" fillId="0" borderId="4" xfId="1" applyNumberFormat="1" applyFont="1" applyBorder="1" applyAlignment="1">
      <alignment vertical="center"/>
    </xf>
    <xf numFmtId="49" fontId="6" fillId="2" borderId="4" xfId="0" applyNumberFormat="1" applyFont="1" applyFill="1" applyBorder="1" applyAlignment="1">
      <alignment vertical="center"/>
    </xf>
    <xf numFmtId="49" fontId="2" fillId="0" borderId="4" xfId="1" applyNumberFormat="1" applyBorder="1" applyAlignment="1">
      <alignment vertical="center"/>
    </xf>
    <xf numFmtId="0" fontId="0" fillId="0" borderId="0" xfId="0" applyAlignment="1">
      <alignment vertical="center"/>
    </xf>
    <xf numFmtId="49" fontId="2" fillId="2" borderId="4" xfId="1" applyNumberForma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8">
    <dxf>
      <font>
        <color rgb="FFFFFFFF"/>
      </font>
      <fill>
        <patternFill patternType="solid">
          <fgColor indexed="64"/>
          <bgColor rgb="FFFF0000"/>
        </patternFill>
      </fill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5700"/>
      </font>
      <fill>
        <patternFill patternType="solid">
          <fgColor indexed="64"/>
          <bgColor rgb="FFFFD8A8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salari%C3%A9s/accords%20n%C3%A9goci%C3%A9s/copies/PV%20d%C3%A9saccord%20Partage%20de%20la%20valeur%20VS.pdf" TargetMode="External"/><Relationship Id="rId13" Type="http://schemas.openxmlformats.org/officeDocument/2006/relationships/hyperlink" Target="https://nokia.sharepoint.com/:b:/r/sites/HRLibrary/Controlled%20Documents/HR%20Regions/Europe%20South/France/Plan-de-transformation/RCC%202025/Avenant%20RCC%202025.pdf" TargetMode="External"/><Relationship Id="rId18" Type="http://schemas.openxmlformats.org/officeDocument/2006/relationships/hyperlink" Target="../../../../HRLibrary/Controlled%20Documents/HR%20Regions/Europe%20South/France/HR%20SOPs-Guidelines-Policy/Harmonized/Accords%20conventions%202025/Proc%C3%A8s%20verbal%20NAO%20(d%C3%A9saccord)%202025%20(27%20mars%202025).pdf" TargetMode="External"/><Relationship Id="rId26" Type="http://schemas.openxmlformats.org/officeDocument/2006/relationships/hyperlink" Target="../../../../HRLibrary/Controlled%20Documents/HR%20Regions/Europe%20South/France/Plan-de-transformation/RCC%202025/Accord%20collectif%20portant%20sur%20une%20Rupture%20Conventionnelle%20Collective%20(RCC)%20au%20sein%20de%20Nokia%20Networks%20France%20(compress%c3%a9).pdf" TargetMode="External"/><Relationship Id="rId3" Type="http://schemas.openxmlformats.org/officeDocument/2006/relationships/hyperlink" Target="../../../../HRLibrary/Controlled%20Documents/HR%20Regions/Europe%20South/France/HR%20SOPs-Guidelines-Policy/Harmonized/Accords%20conventions%202024/Avenant%20Proc%C3%A8s-verbal%20de%20d%C3%A9saccord%20NAO%202024%20(9%20avril%202024).pdf" TargetMode="External"/><Relationship Id="rId21" Type="http://schemas.openxmlformats.org/officeDocument/2006/relationships/hyperlink" Target="../../../../HRLibrary/Controlled%20Documents/HR%20Regions/Europe%20South/France/HR%20SOPs-Guidelines-Policy/Harmonized/Accords%20conventions%202023/Accord%20de%20substitution%20non%20cadres%20-%2030%20novembre%202023.pdf" TargetMode="External"/><Relationship Id="rId7" Type="http://schemas.openxmlformats.org/officeDocument/2006/relationships/hyperlink" Target="../../salari%C3%A9s/accords%20n%C3%A9goci%C3%A9s/copies/Accord%20harmonisation%20taux%20variable%20cible.pdf" TargetMode="External"/><Relationship Id="rId12" Type="http://schemas.openxmlformats.org/officeDocument/2006/relationships/hyperlink" Target="../../../../HRLibrary/Controlled%20Documents/HR%20Regions/Europe%20South/France/HR%20SOPs-Guidelines-Policy/Harmonized/Accords%20conventions%202026/NAO_2026_Proc%c3%a8s_verbal_d_accord_24%20janvier_2026.pdf" TargetMode="External"/><Relationship Id="rId17" Type="http://schemas.openxmlformats.org/officeDocument/2006/relationships/hyperlink" Target="../../../../HRLibrary/Controlled%20Documents/HR%20Regions/Europe%20South/France/HR%20SOPs-Guidelines-Policy/Harmonized/Accords%20conventions%202023/NAO%202023%20-%20PV%20d%C3%A9saccord.pdf" TargetMode="External"/><Relationship Id="rId25" Type="http://schemas.openxmlformats.org/officeDocument/2006/relationships/hyperlink" Target="../../../../HRLibrary/Controlled%20Documents/HR%20Regions/Europe%20South/France/HR%20SOPs-Guidelines-Policy/Harmonized/Accords%20conventions%202025/Accord%20d'entreprise%20relatif%20au%20Plan%20d'Epargne%20Retraite%20d'Entreprise%20Collectif%20PERCOL%20(16%20d%c3%a9cembre%202025).pdf" TargetMode="External"/><Relationship Id="rId2" Type="http://schemas.openxmlformats.org/officeDocument/2006/relationships/hyperlink" Target="../../../../HRLibrary/Controlled%20Documents/HR%20Regions/Europe%20South/France/HR%20SOPs-Guidelines-Policy/Harmonized/Accords%20conventions%202024/Accord%20am%C3%A9nagement%20temps%20travail%20NPS%202024.pdf" TargetMode="External"/><Relationship Id="rId16" Type="http://schemas.openxmlformats.org/officeDocument/2006/relationships/hyperlink" Target="../../../../HRLibrary/Controlled%20Documents/HR%20Regions/Europe%20South/France/HR%20SOPs-Guidelines-Policy/Harmonized/Accords%20conventions%202025/Accord%20d'entreprise%20relatif%20au%20Plan%20d'Epargne%20Entreprise%20au%20sein%20de%20Nokia%20Networks%20France%20(16%20d%c3%a9cembre%202025).pdf" TargetMode="External"/><Relationship Id="rId20" Type="http://schemas.openxmlformats.org/officeDocument/2006/relationships/hyperlink" Target="../../../../HRLibrary/Controlled%20Documents/HR%20Regions/Europe%20South/France/Plan-de-transformation/RCC%202023/Accord%20RCC%202023.pdf" TargetMode="External"/><Relationship Id="rId1" Type="http://schemas.openxmlformats.org/officeDocument/2006/relationships/hyperlink" Target="../../../../HRLibrary/Controlled%20Documents/HR%20Regions/Europe%20South/France/Plan-de-transformation/RCC%202026/Accord_RCC_2026.pdf" TargetMode="External"/><Relationship Id="rId6" Type="http://schemas.openxmlformats.org/officeDocument/2006/relationships/hyperlink" Target="../../../../HRLibrary/Controlled%20Documents/HR%20Regions/Europe%20South/France/HR%20SOPs-Guidelines-Policy/Harmonized/Accords%20conventions%202023/Accord%20%C3%A9galit%C3%A9%20professionnelle.pdf" TargetMode="External"/><Relationship Id="rId11" Type="http://schemas.openxmlformats.org/officeDocument/2006/relationships/hyperlink" Target="../../../../HRLibrary/Controlled%20Documents/HR%20Regions/Europe%20South/France/HR%20SOPs-Guidelines-Policy/Harmonized/Accords%20conventions%202026/Avenant%20n%c2%ba%201%20%c3%a0%20l'Accord%20CSE%20du%2021%20septembre%202018.pdf" TargetMode="External"/><Relationship Id="rId24" Type="http://schemas.openxmlformats.org/officeDocument/2006/relationships/hyperlink" Target="../../../../HRLibrary/Controlled%20Documents/HR%20Regions/Europe%20South/France/HR%20SOPs-Guidelines-Policy/Harmonized/Accords%20conventions%202024/Accord%20don%20de%20jours%2014%20novembre%202024.pdf" TargetMode="External"/><Relationship Id="rId5" Type="http://schemas.openxmlformats.org/officeDocument/2006/relationships/hyperlink" Target="../../salari%C3%A9s/accords%20n%C3%A9goci%C3%A9s/copies/2025%20Accord%20etablissement%20NAO%20Mis%20%C3%A0%20la%20signature.pdf" TargetMode="External"/><Relationship Id="rId15" Type="http://schemas.openxmlformats.org/officeDocument/2006/relationships/hyperlink" Target="../../../../HRLibrary/Controlled%20Documents/HR%20Regions/Europe%20South/France/HR%20SOPs-Guidelines-Policy/Harmonized/Temps%20de%20travail/Accord%20Am%C3%A9nagement%20Temps%20Travail%20NPS%202026%20(19%20d%C3%A9cembre%202025).pdf" TargetMode="External"/><Relationship Id="rId23" Type="http://schemas.openxmlformats.org/officeDocument/2006/relationships/hyperlink" Target="../../../../HRLibrary/Controlled%20Documents/HR%20Regions/Europe%20South/France/HR%20SOPs-Guidelines-Policy/Harmonized/Accord%20CGF.pdf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../../../../HRLibrary/Controlled%20Documents/HR%20Regions/Europe%20South/France/HR%20SOPs-Guidelines-Policy/Harmonized/Accords%20conventions%202023/Accord%20remboursement%20sant%C3%A9%20-%202023.pdf" TargetMode="External"/><Relationship Id="rId19" Type="http://schemas.openxmlformats.org/officeDocument/2006/relationships/hyperlink" Target="../../../../HRLibrary/Controlled%20Documents/HR%20Regions/Europe%20South/France/HR%20SOPs-Guidelines-Policy/Harmonized/Accords%20conventions%202025/Avenant%20accord%20t%c3%a9l%c3%a9travail%20avril%202022.pdf" TargetMode="External"/><Relationship Id="rId4" Type="http://schemas.openxmlformats.org/officeDocument/2006/relationships/hyperlink" Target="../../salari%C3%A9s/accords%20n%C3%A9goci%C3%A9s/copies/GEPP%20PV%20de%20d%C3%A9saccord%20mis%20%C3%A0%20signature.pdf" TargetMode="External"/><Relationship Id="rId9" Type="http://schemas.openxmlformats.org/officeDocument/2006/relationships/hyperlink" Target="../../../../HRLibrary/Controlled%20Documents/HR%20Regions/Europe%20South/France/HR%20SOPs-Guidelines-Policy/Harmonized/Accords%20conventions%202022/Accord%20%C3%A9tablissement%20am%C3%A9nagement%20temps%20de%20travail%202022.pdf" TargetMode="External"/><Relationship Id="rId14" Type="http://schemas.openxmlformats.org/officeDocument/2006/relationships/hyperlink" Target="../../../../BDESENNF-Centrale/Shared%20Documents/01.%20BDESE%20Centrale/02%20-%20Investissements/01%20-%20Investissement%20social/Handicap/Accord%20handicap%202026.pdf" TargetMode="External"/><Relationship Id="rId22" Type="http://schemas.openxmlformats.org/officeDocument/2006/relationships/hyperlink" Target="../../../../HRLibrary/Controlled%20Documents/HR%20Regions/Europe%20South/France/Plan-de-transformation/RCC%202024/Accord%20RCC%202024%20(19%20avril%202024).pdf" TargetMode="External"/><Relationship Id="rId27" Type="http://schemas.openxmlformats.org/officeDocument/2006/relationships/hyperlink" Target="../../salari%C3%A9s/tracts%20diffus%C3%A9s/2024/tract_bilan_rcc24_v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topLeftCell="A7" workbookViewId="0">
      <selection activeCell="D8" sqref="D8"/>
    </sheetView>
  </sheetViews>
  <sheetFormatPr defaultColWidth="12.140625" defaultRowHeight="15" customHeight="1" x14ac:dyDescent="0.25"/>
  <cols>
    <col min="1" max="1" width="8.28515625" style="9" customWidth="1"/>
    <col min="2" max="2" width="7.5703125" style="9" customWidth="1"/>
    <col min="3" max="3" width="41.28515625" style="9" bestFit="1" customWidth="1"/>
    <col min="4" max="4" width="114.28515625" style="21" customWidth="1"/>
    <col min="5" max="5" width="21.7109375" style="9" customWidth="1"/>
    <col min="6" max="6" width="15.28515625" style="9" customWidth="1"/>
    <col min="7" max="9" width="9.28515625" style="9" bestFit="1" customWidth="1"/>
    <col min="10" max="10" width="49.5703125" style="9" customWidth="1"/>
    <col min="11" max="12" width="14.28515625" style="9" customWidth="1"/>
    <col min="13" max="14" width="57.140625" style="9" customWidth="1"/>
    <col min="15" max="15" width="82.140625" style="9" customWidth="1"/>
    <col min="16" max="16" width="41.85546875" style="9" customWidth="1"/>
    <col min="17" max="16384" width="12.140625" style="9"/>
  </cols>
  <sheetData>
    <row r="1" spans="1:16" x14ac:dyDescent="0.25">
      <c r="A1" s="6" t="s">
        <v>12</v>
      </c>
      <c r="B1" s="7" t="s">
        <v>50</v>
      </c>
      <c r="C1" s="15" t="s">
        <v>0</v>
      </c>
      <c r="D1" s="17" t="s">
        <v>137</v>
      </c>
      <c r="E1" s="16" t="s">
        <v>112</v>
      </c>
      <c r="F1" s="8" t="s">
        <v>130</v>
      </c>
      <c r="G1" s="7" t="s">
        <v>1</v>
      </c>
      <c r="H1" s="7" t="s">
        <v>2</v>
      </c>
      <c r="I1" s="7" t="s">
        <v>3</v>
      </c>
      <c r="J1" s="8" t="s">
        <v>90</v>
      </c>
      <c r="K1" s="8" t="s">
        <v>14</v>
      </c>
      <c r="L1" s="8" t="s">
        <v>15</v>
      </c>
      <c r="M1" s="8" t="s">
        <v>13</v>
      </c>
      <c r="N1" s="8" t="s">
        <v>16</v>
      </c>
      <c r="O1" s="8" t="s">
        <v>17</v>
      </c>
      <c r="P1" s="8" t="s">
        <v>131</v>
      </c>
    </row>
    <row r="2" spans="1:16" ht="30" x14ac:dyDescent="0.25">
      <c r="A2" s="10">
        <v>2024</v>
      </c>
      <c r="B2" s="5" t="s">
        <v>51</v>
      </c>
      <c r="C2" s="12" t="s">
        <v>10</v>
      </c>
      <c r="D2" s="19" t="s">
        <v>136</v>
      </c>
      <c r="E2" s="14" t="s">
        <v>11</v>
      </c>
      <c r="F2" s="11" t="str">
        <f>_xlfn.LET(_xlpm.ok,COUNTIF(G2:I2,TRUE),_xlpm.av,COUNTIF(G2:I2,"À vérifier"),IF(_xlpm.ok&gt;=2,TRUE,IF(_xlpm.ok+_xlpm.av&gt;=2,"À vérifier",FALSE)))</f>
        <v>À vérifier</v>
      </c>
      <c r="G2" s="11" t="b">
        <v>1</v>
      </c>
      <c r="H2" s="11" t="s">
        <v>5</v>
      </c>
      <c r="I2" s="11" t="s">
        <v>5</v>
      </c>
      <c r="J2" s="1" t="s">
        <v>98</v>
      </c>
      <c r="K2" s="1" t="s">
        <v>5</v>
      </c>
      <c r="L2" s="1" t="s">
        <v>5</v>
      </c>
      <c r="M2" s="2" t="s">
        <v>29</v>
      </c>
      <c r="N2" s="2" t="s">
        <v>28</v>
      </c>
      <c r="O2" s="2" t="s">
        <v>11</v>
      </c>
      <c r="P2" s="2"/>
    </row>
    <row r="3" spans="1:16" ht="45" x14ac:dyDescent="0.25">
      <c r="A3" s="10">
        <v>2023</v>
      </c>
      <c r="B3" s="5" t="s">
        <v>51</v>
      </c>
      <c r="C3" s="12" t="s">
        <v>191</v>
      </c>
      <c r="D3" s="20" t="s">
        <v>192</v>
      </c>
      <c r="E3" s="14" t="s">
        <v>190</v>
      </c>
      <c r="F3" s="11" t="str">
        <f>_xlfn.LET(_xlpm.ok,COUNTIF(G3:I3,TRUE),_xlpm.av,COUNTIF(G3:I3,"À vérifier"),IF(_xlpm.ok&gt;=2,TRUE,IF(_xlpm.ok+_xlpm.av&gt;=2,"À vérifier",FALSE)))</f>
        <v>À vérifier</v>
      </c>
      <c r="G3" s="11" t="s">
        <v>5</v>
      </c>
      <c r="H3" s="11" t="s">
        <v>5</v>
      </c>
      <c r="I3" s="11" t="s">
        <v>5</v>
      </c>
      <c r="J3" s="1" t="s">
        <v>103</v>
      </c>
      <c r="K3" s="1" t="s">
        <v>5</v>
      </c>
      <c r="L3" s="1" t="s">
        <v>5</v>
      </c>
      <c r="M3" s="2" t="s">
        <v>21</v>
      </c>
      <c r="N3" s="2" t="s">
        <v>5</v>
      </c>
      <c r="O3" s="2" t="s">
        <v>11</v>
      </c>
      <c r="P3" s="2"/>
    </row>
    <row r="4" spans="1:16" ht="30" x14ac:dyDescent="0.25">
      <c r="A4" s="10">
        <v>2024</v>
      </c>
      <c r="B4" s="5" t="s">
        <v>51</v>
      </c>
      <c r="C4" s="12" t="s">
        <v>64</v>
      </c>
      <c r="D4" s="20" t="s">
        <v>158</v>
      </c>
      <c r="E4" s="14" t="s">
        <v>181</v>
      </c>
      <c r="F4" s="11" t="str">
        <f>_xlfn.LET(_xlpm.ok,COUNTIF(G4:I4,TRUE),_xlpm.av,COUNTIF(G4:I4,"À vérifier"),IF(_xlpm.ok&gt;=2,TRUE,IF(_xlpm.ok+_xlpm.av&gt;=2,"À vérifier",FALSE)))</f>
        <v>À vérifier</v>
      </c>
      <c r="G4" s="11" t="b">
        <v>1</v>
      </c>
      <c r="H4" s="11" t="s">
        <v>5</v>
      </c>
      <c r="I4" s="11" t="s">
        <v>5</v>
      </c>
      <c r="J4" s="1" t="s">
        <v>98</v>
      </c>
      <c r="K4" s="1" t="s">
        <v>5</v>
      </c>
      <c r="L4" s="1" t="s">
        <v>5</v>
      </c>
      <c r="M4" s="2" t="s">
        <v>23</v>
      </c>
      <c r="N4" s="2" t="s">
        <v>24</v>
      </c>
      <c r="O4" s="2" t="s">
        <v>11</v>
      </c>
      <c r="P4" s="2"/>
    </row>
    <row r="5" spans="1:16" ht="60" x14ac:dyDescent="0.25">
      <c r="A5" s="10">
        <v>2023</v>
      </c>
      <c r="B5" s="5" t="s">
        <v>52</v>
      </c>
      <c r="C5" s="12" t="s">
        <v>9</v>
      </c>
      <c r="D5" s="20" t="s">
        <v>151</v>
      </c>
      <c r="E5" s="14" t="s">
        <v>182</v>
      </c>
      <c r="F5" s="11" t="b">
        <f>_xlfn.LET(_xlpm.ok,COUNTIF(G5:I5,TRUE),_xlpm.av,COUNTIF(G5:I5,"À vérifier"),IF(_xlpm.ok&gt;=2,TRUE,IF(_xlpm.ok+_xlpm.av&gt;=2,"À vérifier",FALSE)))</f>
        <v>1</v>
      </c>
      <c r="G5" s="11" t="b">
        <v>1</v>
      </c>
      <c r="H5" s="11" t="b">
        <v>1</v>
      </c>
      <c r="I5" s="11" t="b">
        <v>1</v>
      </c>
      <c r="J5" s="1" t="s">
        <v>141</v>
      </c>
      <c r="K5" s="1" t="s">
        <v>5</v>
      </c>
      <c r="L5" s="1" t="s">
        <v>5</v>
      </c>
      <c r="M5" s="2" t="s">
        <v>142</v>
      </c>
      <c r="N5" s="2" t="s">
        <v>143</v>
      </c>
      <c r="O5" s="3" t="s">
        <v>11</v>
      </c>
      <c r="P5" s="3"/>
    </row>
    <row r="6" spans="1:16" ht="45" x14ac:dyDescent="0.25">
      <c r="A6" s="10">
        <v>2023</v>
      </c>
      <c r="B6" s="5" t="s">
        <v>51</v>
      </c>
      <c r="C6" s="12" t="s">
        <v>69</v>
      </c>
      <c r="D6" s="20" t="s">
        <v>161</v>
      </c>
      <c r="E6" s="14" t="s">
        <v>125</v>
      </c>
      <c r="F6" s="11" t="str">
        <f>_xlfn.LET(_xlpm.ok,COUNTIF(G6:I6,TRUE),_xlpm.av,COUNTIF(G6:I6,"À vérifier"),IF(_xlpm.ok&gt;=2,TRUE,IF(_xlpm.ok+_xlpm.av&gt;=2,"À vérifier",FALSE)))</f>
        <v>À vérifier</v>
      </c>
      <c r="G6" s="11" t="b">
        <v>0</v>
      </c>
      <c r="H6" s="11" t="s">
        <v>5</v>
      </c>
      <c r="I6" s="11" t="s">
        <v>5</v>
      </c>
      <c r="J6" s="1" t="s">
        <v>103</v>
      </c>
      <c r="K6" s="1" t="s">
        <v>5</v>
      </c>
      <c r="L6" s="1" t="s">
        <v>5</v>
      </c>
      <c r="M6" s="2" t="s">
        <v>19</v>
      </c>
      <c r="N6" s="2" t="s">
        <v>42</v>
      </c>
      <c r="O6" s="3" t="s">
        <v>171</v>
      </c>
      <c r="P6" s="3"/>
    </row>
    <row r="7" spans="1:16" ht="45" x14ac:dyDescent="0.25">
      <c r="A7" s="10">
        <v>2024</v>
      </c>
      <c r="B7" s="5" t="s">
        <v>52</v>
      </c>
      <c r="C7" s="12" t="s">
        <v>9</v>
      </c>
      <c r="D7" s="20" t="s">
        <v>135</v>
      </c>
      <c r="E7" s="14" t="s">
        <v>123</v>
      </c>
      <c r="F7" s="11" t="b">
        <f>_xlfn.LET(_xlpm.ok,COUNTIF(G7:I7,TRUE),_xlpm.av,COUNTIF(G7:I7,"À vérifier"),IF(_xlpm.ok&gt;=2,TRUE,IF(_xlpm.ok+_xlpm.av&gt;=2,"À vérifier",FALSE)))</f>
        <v>1</v>
      </c>
      <c r="G7" s="11" t="b">
        <v>1</v>
      </c>
      <c r="H7" s="11" t="b">
        <v>1</v>
      </c>
      <c r="I7" s="11" t="b">
        <v>1</v>
      </c>
      <c r="J7" s="1" t="s">
        <v>108</v>
      </c>
      <c r="K7" s="1" t="s">
        <v>5</v>
      </c>
      <c r="L7" s="1" t="s">
        <v>5</v>
      </c>
      <c r="M7" s="2" t="s">
        <v>27</v>
      </c>
      <c r="N7" s="2" t="s">
        <v>28</v>
      </c>
      <c r="O7" s="2" t="s">
        <v>11</v>
      </c>
      <c r="P7" s="2"/>
    </row>
    <row r="8" spans="1:16" ht="45" x14ac:dyDescent="0.25">
      <c r="A8" s="10">
        <v>2026</v>
      </c>
      <c r="B8" s="5" t="s">
        <v>51</v>
      </c>
      <c r="C8" s="12" t="s">
        <v>71</v>
      </c>
      <c r="D8" s="20" t="s">
        <v>159</v>
      </c>
      <c r="E8" s="14" t="s">
        <v>113</v>
      </c>
      <c r="F8" s="11" t="b">
        <f>_xlfn.LET(_xlpm.ok,COUNTIF(G8:I8,TRUE),_xlpm.av,COUNTIF(G8:I8,"À vérifier"),IF(_xlpm.ok&gt;=2,TRUE,IF(_xlpm.ok+_xlpm.av&gt;=2,"À vérifier",FALSE)))</f>
        <v>1</v>
      </c>
      <c r="G8" s="11" t="b">
        <v>0</v>
      </c>
      <c r="H8" s="11" t="b">
        <v>1</v>
      </c>
      <c r="I8" s="11" t="b">
        <v>1</v>
      </c>
      <c r="J8" s="1" t="s">
        <v>104</v>
      </c>
      <c r="K8" s="1">
        <v>46197</v>
      </c>
      <c r="L8" s="1">
        <v>46219</v>
      </c>
      <c r="M8" s="2" t="s">
        <v>48</v>
      </c>
      <c r="N8" s="2" t="s">
        <v>41</v>
      </c>
      <c r="O8" s="3" t="s">
        <v>172</v>
      </c>
      <c r="P8" s="3"/>
    </row>
    <row r="9" spans="1:16" ht="45" x14ac:dyDescent="0.25">
      <c r="A9" s="10">
        <v>2026</v>
      </c>
      <c r="B9" s="5" t="s">
        <v>51</v>
      </c>
      <c r="C9" s="12" t="s">
        <v>55</v>
      </c>
      <c r="D9" s="20" t="s">
        <v>167</v>
      </c>
      <c r="E9" s="14" t="s">
        <v>114</v>
      </c>
      <c r="F9" s="11" t="b">
        <f>_xlfn.LET(_xlpm.ok,COUNTIF(G9:I9,TRUE),_xlpm.av,COUNTIF(G9:I9,"À vérifier"),IF(_xlpm.ok&gt;=2,TRUE,IF(_xlpm.ok+_xlpm.av&gt;=2,"À vérifier",FALSE)))</f>
        <v>1</v>
      </c>
      <c r="G9" s="11" t="b">
        <v>1</v>
      </c>
      <c r="H9" s="11" t="b">
        <v>1</v>
      </c>
      <c r="I9" s="11" t="b">
        <v>1</v>
      </c>
      <c r="J9" s="1" t="s">
        <v>92</v>
      </c>
      <c r="K9" s="1">
        <v>46202</v>
      </c>
      <c r="L9" s="1">
        <v>46212</v>
      </c>
      <c r="M9" s="2" t="s">
        <v>47</v>
      </c>
      <c r="N9" s="2" t="s">
        <v>30</v>
      </c>
      <c r="O9" s="2" t="s">
        <v>11</v>
      </c>
      <c r="P9" s="2"/>
    </row>
    <row r="10" spans="1:16" ht="90" x14ac:dyDescent="0.25">
      <c r="A10" s="10">
        <v>2026</v>
      </c>
      <c r="B10" s="5" t="s">
        <v>51</v>
      </c>
      <c r="C10" s="12" t="s">
        <v>54</v>
      </c>
      <c r="D10" s="20" t="s">
        <v>149</v>
      </c>
      <c r="E10" s="13" t="s">
        <v>194</v>
      </c>
      <c r="F10" s="11" t="b">
        <f>_xlfn.LET(_xlpm.ok,COUNTIF(G10:I10,TRUE),_xlpm.av,COUNTIF(G10:I10,"À vérifier"),IF(_xlpm.ok&gt;=2,TRUE,IF(_xlpm.ok+_xlpm.av&gt;=2,"À vérifier",FALSE)))</f>
        <v>1</v>
      </c>
      <c r="G10" s="11" t="b">
        <v>1</v>
      </c>
      <c r="H10" s="11" t="b">
        <v>1</v>
      </c>
      <c r="I10" s="11" t="b">
        <v>1</v>
      </c>
      <c r="J10" s="1" t="s">
        <v>91</v>
      </c>
      <c r="K10" s="1">
        <v>45813</v>
      </c>
      <c r="L10" s="1">
        <v>46181</v>
      </c>
      <c r="M10" s="5" t="s">
        <v>73</v>
      </c>
      <c r="N10" s="5" t="s">
        <v>49</v>
      </c>
      <c r="O10" s="5" t="s">
        <v>11</v>
      </c>
      <c r="P10" s="5"/>
    </row>
    <row r="11" spans="1:16" ht="90" x14ac:dyDescent="0.25">
      <c r="A11" s="10">
        <v>2026</v>
      </c>
      <c r="B11" s="5" t="s">
        <v>51</v>
      </c>
      <c r="C11" s="12" t="s">
        <v>67</v>
      </c>
      <c r="D11" s="20" t="s">
        <v>148</v>
      </c>
      <c r="E11" s="14" t="s">
        <v>127</v>
      </c>
      <c r="F11" s="11" t="str">
        <f>_xlfn.LET(_xlpm.ok,COUNTIF(G11:I11,TRUE),_xlpm.av,COUNTIF(G11:I11,"À vérifier"),IF(_xlpm.ok&gt;=2,TRUE,IF(_xlpm.ok+_xlpm.av&gt;=2,"À vérifier",FALSE)))</f>
        <v>À vérifier</v>
      </c>
      <c r="G11" s="11" t="b">
        <v>1</v>
      </c>
      <c r="H11" s="11" t="s">
        <v>5</v>
      </c>
      <c r="I11" s="11" t="s">
        <v>5</v>
      </c>
      <c r="J11" s="1" t="s">
        <v>93</v>
      </c>
      <c r="K11" s="1">
        <v>46041</v>
      </c>
      <c r="L11" s="1">
        <v>46048</v>
      </c>
      <c r="M11" s="2" t="s">
        <v>74</v>
      </c>
      <c r="N11" s="2" t="s">
        <v>46</v>
      </c>
      <c r="O11" s="2" t="s">
        <v>11</v>
      </c>
      <c r="P11" s="2"/>
    </row>
    <row r="12" spans="1:16" ht="60" x14ac:dyDescent="0.25">
      <c r="A12" s="10">
        <v>2026</v>
      </c>
      <c r="B12" s="5" t="s">
        <v>51</v>
      </c>
      <c r="C12" s="12" t="s">
        <v>72</v>
      </c>
      <c r="D12" s="20" t="s">
        <v>170</v>
      </c>
      <c r="E12" s="14" t="s">
        <v>183</v>
      </c>
      <c r="F12" s="11" t="b">
        <f>_xlfn.LET(_xlpm.ok,COUNTIF(G12:I12,TRUE),_xlpm.av,COUNTIF(G12:I12,"À vérifier"),IF(_xlpm.ok&gt;=2,TRUE,IF(_xlpm.ok+_xlpm.av&gt;=2,"À vérifier",FALSE)))</f>
        <v>1</v>
      </c>
      <c r="G12" s="11" t="b">
        <v>0</v>
      </c>
      <c r="H12" s="11" t="b">
        <v>1</v>
      </c>
      <c r="I12" s="11" t="b">
        <v>1</v>
      </c>
      <c r="J12" s="1" t="s">
        <v>94</v>
      </c>
      <c r="K12" s="1" t="s">
        <v>5</v>
      </c>
      <c r="L12" s="1">
        <v>46037</v>
      </c>
      <c r="M12" s="2" t="s">
        <v>77</v>
      </c>
      <c r="N12" s="2" t="s">
        <v>40</v>
      </c>
      <c r="O12" s="2" t="s">
        <v>11</v>
      </c>
      <c r="P12" s="2"/>
    </row>
    <row r="13" spans="1:16" ht="90" x14ac:dyDescent="0.25">
      <c r="A13" s="10">
        <v>2026</v>
      </c>
      <c r="B13" s="5" t="s">
        <v>52</v>
      </c>
      <c r="C13" s="12" t="s">
        <v>9</v>
      </c>
      <c r="D13" s="22" t="s">
        <v>168</v>
      </c>
      <c r="E13" s="13" t="s">
        <v>145</v>
      </c>
      <c r="F13" s="11" t="b">
        <f>_xlfn.LET(_xlpm.ok,COUNTIF(G13:I13,TRUE),_xlpm.av,COUNTIF(G13:I13,"À vérifier"),IF(_xlpm.ok&gt;=2,TRUE,IF(_xlpm.ok+_xlpm.av&gt;=2,"À vérifier",FALSE)))</f>
        <v>1</v>
      </c>
      <c r="G13" s="11" t="b">
        <v>1</v>
      </c>
      <c r="H13" s="11" t="b">
        <v>1</v>
      </c>
      <c r="I13" s="11" t="b">
        <v>1</v>
      </c>
      <c r="J13" s="1" t="s">
        <v>146</v>
      </c>
      <c r="K13" s="1">
        <v>45989</v>
      </c>
      <c r="L13" s="1">
        <v>46010</v>
      </c>
      <c r="M13" s="5" t="s">
        <v>147</v>
      </c>
      <c r="N13" s="5" t="s">
        <v>30</v>
      </c>
      <c r="O13" s="5" t="s">
        <v>11</v>
      </c>
      <c r="P13" s="5"/>
    </row>
    <row r="14" spans="1:16" ht="120" x14ac:dyDescent="0.25">
      <c r="A14" s="10">
        <v>2026</v>
      </c>
      <c r="B14" s="5" t="s">
        <v>51</v>
      </c>
      <c r="C14" s="12" t="s">
        <v>70</v>
      </c>
      <c r="D14" s="20" t="s">
        <v>169</v>
      </c>
      <c r="E14" s="14" t="s">
        <v>115</v>
      </c>
      <c r="F14" s="11" t="b">
        <f>_xlfn.LET(_xlpm.ok,COUNTIF(G14:I14,TRUE),_xlpm.av,COUNTIF(G14:I14,"À vérifier"),IF(_xlpm.ok&gt;=2,TRUE,IF(_xlpm.ok+_xlpm.av&gt;=2,"À vérifier",FALSE)))</f>
        <v>1</v>
      </c>
      <c r="G14" s="11" t="b">
        <v>0</v>
      </c>
      <c r="H14" s="11" t="b">
        <v>1</v>
      </c>
      <c r="I14" s="11" t="b">
        <v>1</v>
      </c>
      <c r="J14" s="1" t="s">
        <v>105</v>
      </c>
      <c r="K14" s="1">
        <v>45980</v>
      </c>
      <c r="L14" s="1">
        <v>46010</v>
      </c>
      <c r="M14" s="2" t="s">
        <v>78</v>
      </c>
      <c r="N14" s="2" t="s">
        <v>39</v>
      </c>
      <c r="O14" s="3" t="s">
        <v>173</v>
      </c>
      <c r="P14" s="3"/>
    </row>
    <row r="15" spans="1:16" ht="90" x14ac:dyDescent="0.25">
      <c r="A15" s="10">
        <v>2025</v>
      </c>
      <c r="B15" s="5" t="s">
        <v>51</v>
      </c>
      <c r="C15" s="12" t="s">
        <v>57</v>
      </c>
      <c r="D15" s="20" t="s">
        <v>164</v>
      </c>
      <c r="E15" s="14" t="s">
        <v>117</v>
      </c>
      <c r="F15" s="11" t="str">
        <f>_xlfn.LET(_xlpm.ok,COUNTIF(G15:I15,TRUE),_xlpm.av,COUNTIF(G15:I15,"À vérifier"),IF(_xlpm.ok&gt;=2,TRUE,IF(_xlpm.ok+_xlpm.av&gt;=2,"À vérifier",FALSE)))</f>
        <v>À vérifier</v>
      </c>
      <c r="G15" s="11" t="s">
        <v>5</v>
      </c>
      <c r="H15" s="11" t="s">
        <v>5</v>
      </c>
      <c r="I15" s="11" t="s">
        <v>5</v>
      </c>
      <c r="J15" s="1" t="s">
        <v>103</v>
      </c>
      <c r="K15" s="1">
        <v>45947</v>
      </c>
      <c r="L15" s="1">
        <v>46007</v>
      </c>
      <c r="M15" s="2" t="s">
        <v>80</v>
      </c>
      <c r="N15" s="2" t="s">
        <v>37</v>
      </c>
      <c r="O15" s="2" t="s">
        <v>11</v>
      </c>
      <c r="P15" s="2"/>
    </row>
    <row r="16" spans="1:16" ht="90" x14ac:dyDescent="0.25">
      <c r="A16" s="10">
        <v>2025</v>
      </c>
      <c r="B16" s="5" t="s">
        <v>51</v>
      </c>
      <c r="C16" s="12" t="s">
        <v>56</v>
      </c>
      <c r="D16" s="20" t="s">
        <v>165</v>
      </c>
      <c r="E16" s="14" t="s">
        <v>116</v>
      </c>
      <c r="F16" s="11" t="str">
        <f>_xlfn.LET(_xlpm.ok,COUNTIF(G16:I16,TRUE),_xlpm.av,COUNTIF(G16:I16,"À vérifier"),IF(_xlpm.ok&gt;=2,TRUE,IF(_xlpm.ok+_xlpm.av&gt;=2,"À vérifier",FALSE)))</f>
        <v>À vérifier</v>
      </c>
      <c r="G16" s="11" t="s">
        <v>5</v>
      </c>
      <c r="H16" s="11" t="s">
        <v>5</v>
      </c>
      <c r="I16" s="11" t="s">
        <v>5</v>
      </c>
      <c r="J16" s="1" t="s">
        <v>103</v>
      </c>
      <c r="K16" s="1">
        <v>45947</v>
      </c>
      <c r="L16" s="1">
        <v>46007</v>
      </c>
      <c r="M16" s="2" t="s">
        <v>79</v>
      </c>
      <c r="N16" s="2" t="s">
        <v>38</v>
      </c>
      <c r="O16" s="2" t="s">
        <v>11</v>
      </c>
      <c r="P16" s="2"/>
    </row>
    <row r="17" spans="1:16" ht="45" x14ac:dyDescent="0.25">
      <c r="A17" s="10">
        <v>2025</v>
      </c>
      <c r="B17" s="5" t="s">
        <v>51</v>
      </c>
      <c r="C17" s="12" t="s">
        <v>59</v>
      </c>
      <c r="D17" s="20" t="s">
        <v>150</v>
      </c>
      <c r="E17" s="14" t="s">
        <v>184</v>
      </c>
      <c r="F17" s="11" t="b">
        <f>_xlfn.LET(_xlpm.ok,COUNTIF(G17:I17,TRUE),_xlpm.av,COUNTIF(G17:I17,"À vérifier"),IF(_xlpm.ok&gt;=2,TRUE,IF(_xlpm.ok+_xlpm.av&gt;=2,"À vérifier",FALSE)))</f>
        <v>0</v>
      </c>
      <c r="G17" s="11" t="b">
        <v>0</v>
      </c>
      <c r="H17" s="11" t="b">
        <v>0</v>
      </c>
      <c r="I17" s="11" t="b">
        <v>0</v>
      </c>
      <c r="J17" s="1" t="s">
        <v>95</v>
      </c>
      <c r="K17" s="1">
        <v>45708</v>
      </c>
      <c r="L17" s="1">
        <v>45930</v>
      </c>
      <c r="M17" s="2" t="s">
        <v>81</v>
      </c>
      <c r="N17" s="2" t="s">
        <v>36</v>
      </c>
      <c r="O17" s="3" t="s">
        <v>174</v>
      </c>
      <c r="P17" s="3"/>
    </row>
    <row r="18" spans="1:16" ht="75" x14ac:dyDescent="0.25">
      <c r="A18" s="10">
        <v>2025</v>
      </c>
      <c r="B18" s="5" t="s">
        <v>51</v>
      </c>
      <c r="C18" s="12" t="s">
        <v>58</v>
      </c>
      <c r="D18" s="18" t="s">
        <v>132</v>
      </c>
      <c r="E18" s="14" t="s">
        <v>118</v>
      </c>
      <c r="F18" s="11" t="str">
        <f>_xlfn.LET(_xlpm.ok,COUNTIF(G18:I18,TRUE),_xlpm.av,COUNTIF(G18:I18,"À vérifier"),IF(_xlpm.ok&gt;=2,TRUE,IF(_xlpm.ok+_xlpm.av&gt;=2,"À vérifier",FALSE)))</f>
        <v>À vérifier</v>
      </c>
      <c r="G18" s="11" t="s">
        <v>5</v>
      </c>
      <c r="H18" s="11" t="s">
        <v>5</v>
      </c>
      <c r="I18" s="11" t="s">
        <v>5</v>
      </c>
      <c r="J18" s="1" t="s">
        <v>103</v>
      </c>
      <c r="K18" s="1">
        <v>45813</v>
      </c>
      <c r="L18" s="1">
        <f>DATE(2025,7,24)</f>
        <v>45862</v>
      </c>
      <c r="M18" s="2" t="s">
        <v>75</v>
      </c>
      <c r="N18" s="2" t="s">
        <v>45</v>
      </c>
      <c r="O18" s="2" t="s">
        <v>11</v>
      </c>
      <c r="P18" s="2"/>
    </row>
    <row r="19" spans="1:16" ht="75" x14ac:dyDescent="0.25">
      <c r="A19" s="10">
        <v>2024</v>
      </c>
      <c r="B19" s="5" t="s">
        <v>51</v>
      </c>
      <c r="C19" s="12" t="s">
        <v>63</v>
      </c>
      <c r="D19" s="18" t="s">
        <v>134</v>
      </c>
      <c r="E19" s="14" t="s">
        <v>122</v>
      </c>
      <c r="F19" s="11" t="b">
        <f>_xlfn.LET(_xlpm.ok,COUNTIF(G19:I19,TRUE),_xlpm.av,COUNTIF(G19:I19,"À vérifier"),IF(_xlpm.ok&gt;=2,TRUE,IF(_xlpm.ok+_xlpm.av&gt;=2,"À vérifier",FALSE)))</f>
        <v>1</v>
      </c>
      <c r="G19" s="11" t="b">
        <v>1</v>
      </c>
      <c r="H19" s="11" t="b">
        <v>1</v>
      </c>
      <c r="I19" s="11" t="b">
        <v>1</v>
      </c>
      <c r="J19" s="1" t="s">
        <v>97</v>
      </c>
      <c r="K19" s="1">
        <v>45702</v>
      </c>
      <c r="L19" s="1">
        <v>45744</v>
      </c>
      <c r="M19" s="2" t="s">
        <v>76</v>
      </c>
      <c r="N19" s="2" t="s">
        <v>30</v>
      </c>
      <c r="O19" s="2" t="s">
        <v>11</v>
      </c>
      <c r="P19" s="2"/>
    </row>
    <row r="20" spans="1:16" ht="45" x14ac:dyDescent="0.25">
      <c r="A20" s="10">
        <v>2025</v>
      </c>
      <c r="B20" s="5" t="s">
        <v>51</v>
      </c>
      <c r="C20" s="12" t="s">
        <v>68</v>
      </c>
      <c r="D20" s="20" t="s">
        <v>166</v>
      </c>
      <c r="E20" s="14" t="s">
        <v>119</v>
      </c>
      <c r="F20" s="11" t="b">
        <f>_xlfn.LET(_xlpm.ok,COUNTIF(G20:I20,TRUE),_xlpm.av,COUNTIF(G20:I20,"À vérifier"),IF(_xlpm.ok&gt;=2,TRUE,IF(_xlpm.ok+_xlpm.av&gt;=2,"À vérifier",FALSE)))</f>
        <v>0</v>
      </c>
      <c r="G20" s="11" t="b">
        <v>0</v>
      </c>
      <c r="H20" s="11" t="b">
        <v>1</v>
      </c>
      <c r="I20" s="11" t="b">
        <v>0</v>
      </c>
      <c r="J20" s="1" t="s">
        <v>96</v>
      </c>
      <c r="K20" s="1">
        <v>45684</v>
      </c>
      <c r="L20" s="1">
        <v>45743</v>
      </c>
      <c r="M20" s="2" t="s">
        <v>44</v>
      </c>
      <c r="N20" s="2" t="s">
        <v>35</v>
      </c>
      <c r="O20" s="3" t="s">
        <v>175</v>
      </c>
      <c r="P20" s="3"/>
    </row>
    <row r="21" spans="1:16" ht="75" x14ac:dyDescent="0.25">
      <c r="A21" s="10">
        <v>2025</v>
      </c>
      <c r="B21" s="5" t="s">
        <v>51</v>
      </c>
      <c r="C21" s="12" t="s">
        <v>60</v>
      </c>
      <c r="D21" s="20" t="s">
        <v>154</v>
      </c>
      <c r="E21" s="14" t="s">
        <v>185</v>
      </c>
      <c r="F21" s="11" t="b">
        <f>_xlfn.LET(_xlpm.ok,COUNTIF(G21:I21,TRUE),_xlpm.av,COUNTIF(G21:I21,"À vérifier"),IF(_xlpm.ok&gt;=2,TRUE,IF(_xlpm.ok+_xlpm.av&gt;=2,"À vérifier",FALSE)))</f>
        <v>1</v>
      </c>
      <c r="G21" s="11" t="b">
        <v>0</v>
      </c>
      <c r="H21" s="11" t="b">
        <v>1</v>
      </c>
      <c r="I21" s="11" t="b">
        <v>1</v>
      </c>
      <c r="J21" s="1" t="s">
        <v>106</v>
      </c>
      <c r="K21" s="1">
        <v>45680</v>
      </c>
      <c r="L21" s="1">
        <v>45712</v>
      </c>
      <c r="M21" s="2" t="s">
        <v>82</v>
      </c>
      <c r="N21" s="2" t="s">
        <v>34</v>
      </c>
      <c r="O21" s="3" t="s">
        <v>176</v>
      </c>
      <c r="P21" s="3"/>
    </row>
    <row r="22" spans="1:16" ht="45" x14ac:dyDescent="0.25">
      <c r="A22" s="10">
        <v>2025</v>
      </c>
      <c r="B22" s="5" t="s">
        <v>52</v>
      </c>
      <c r="C22" s="12" t="s">
        <v>9</v>
      </c>
      <c r="D22" s="20" t="s">
        <v>193</v>
      </c>
      <c r="E22" s="13" t="s">
        <v>186</v>
      </c>
      <c r="F22" s="11" t="str">
        <f>_xlfn.LET(_xlpm.ok,COUNTIF(G22:I22,TRUE),_xlpm.av,COUNTIF(G22:I22,"À vérifier"),IF(_xlpm.ok&gt;=2,TRUE,IF(_xlpm.ok+_xlpm.av&gt;=2,"À vérifier",FALSE)))</f>
        <v>À vérifier</v>
      </c>
      <c r="G22" s="11" t="s">
        <v>5</v>
      </c>
      <c r="H22" s="11" t="s">
        <v>5</v>
      </c>
      <c r="I22" s="11" t="s">
        <v>5</v>
      </c>
      <c r="J22" s="4" t="s">
        <v>111</v>
      </c>
      <c r="K22" s="4" t="s">
        <v>5</v>
      </c>
      <c r="L22" s="4">
        <v>45673</v>
      </c>
      <c r="M22" s="5" t="s">
        <v>89</v>
      </c>
      <c r="N22" s="5" t="s">
        <v>5</v>
      </c>
      <c r="O22" s="5" t="s">
        <v>11</v>
      </c>
      <c r="P22" s="5"/>
    </row>
    <row r="23" spans="1:16" ht="75" x14ac:dyDescent="0.25">
      <c r="A23" s="10">
        <v>2024</v>
      </c>
      <c r="B23" s="5" t="s">
        <v>51</v>
      </c>
      <c r="C23" s="12" t="s">
        <v>7</v>
      </c>
      <c r="D23" s="20" t="s">
        <v>162</v>
      </c>
      <c r="E23" s="14" t="s">
        <v>124</v>
      </c>
      <c r="F23" s="11" t="b">
        <f>_xlfn.LET(_xlpm.ok,COUNTIF(G23:I23,TRUE),_xlpm.av,COUNTIF(G23:I23,"À vérifier"),IF(_xlpm.ok&gt;=2,TRUE,IF(_xlpm.ok+_xlpm.av&gt;=2,"À vérifier",FALSE)))</f>
        <v>1</v>
      </c>
      <c r="G23" s="11" t="b">
        <v>1</v>
      </c>
      <c r="H23" s="11" t="b">
        <v>1</v>
      </c>
      <c r="I23" s="11" t="b">
        <v>1</v>
      </c>
      <c r="J23" s="1" t="s">
        <v>109</v>
      </c>
      <c r="K23" s="1">
        <v>45569</v>
      </c>
      <c r="L23" s="1">
        <v>45610</v>
      </c>
      <c r="M23" s="2" t="s">
        <v>84</v>
      </c>
      <c r="N23" s="2" t="s">
        <v>22</v>
      </c>
      <c r="O23" s="2" t="s">
        <v>11</v>
      </c>
      <c r="P23" s="2"/>
    </row>
    <row r="24" spans="1:16" ht="30" x14ac:dyDescent="0.25">
      <c r="A24" s="10">
        <v>2024</v>
      </c>
      <c r="B24" s="5" t="s">
        <v>51</v>
      </c>
      <c r="C24" s="12" t="s">
        <v>61</v>
      </c>
      <c r="D24" s="20" t="s">
        <v>160</v>
      </c>
      <c r="E24" s="14" t="s">
        <v>120</v>
      </c>
      <c r="F24" s="11" t="str">
        <f>_xlfn.LET(_xlpm.ok,COUNTIF(G24:I24,TRUE),_xlpm.av,COUNTIF(G24:I24,"À vérifier"),IF(_xlpm.ok&gt;=2,TRUE,IF(_xlpm.ok+_xlpm.av&gt;=2,"À vérifier",FALSE)))</f>
        <v>À vérifier</v>
      </c>
      <c r="G24" s="11" t="b">
        <v>0</v>
      </c>
      <c r="H24" s="11" t="s">
        <v>5</v>
      </c>
      <c r="I24" s="11" t="s">
        <v>5</v>
      </c>
      <c r="J24" s="1" t="s">
        <v>103</v>
      </c>
      <c r="K24" s="1" t="s">
        <v>5</v>
      </c>
      <c r="L24" s="1">
        <v>45538</v>
      </c>
      <c r="M24" s="2" t="s">
        <v>32</v>
      </c>
      <c r="N24" s="2" t="s">
        <v>33</v>
      </c>
      <c r="O24" s="2" t="s">
        <v>11</v>
      </c>
      <c r="P24" s="2"/>
    </row>
    <row r="25" spans="1:16" ht="30" x14ac:dyDescent="0.25">
      <c r="A25" s="10">
        <v>2024</v>
      </c>
      <c r="B25" s="5" t="s">
        <v>51</v>
      </c>
      <c r="C25" s="12" t="s">
        <v>8</v>
      </c>
      <c r="D25" s="20" t="s">
        <v>157</v>
      </c>
      <c r="E25" s="14" t="s">
        <v>128</v>
      </c>
      <c r="F25" s="11" t="b">
        <f>_xlfn.LET(_xlpm.ok,COUNTIF(G25:I25,TRUE),_xlpm.av,COUNTIF(G25:I25,"À vérifier"),IF(_xlpm.ok&gt;=2,TRUE,IF(_xlpm.ok+_xlpm.av&gt;=2,"À vérifier",FALSE)))</f>
        <v>1</v>
      </c>
      <c r="G25" s="11" t="b">
        <v>1</v>
      </c>
      <c r="H25" s="11" t="b">
        <v>1</v>
      </c>
      <c r="I25" s="11" t="b">
        <v>1</v>
      </c>
      <c r="J25" s="1" t="s">
        <v>99</v>
      </c>
      <c r="K25" s="1">
        <v>45356</v>
      </c>
      <c r="L25" s="1">
        <v>45401</v>
      </c>
      <c r="M25" s="2" t="s">
        <v>25</v>
      </c>
      <c r="N25" s="2" t="s">
        <v>26</v>
      </c>
      <c r="O25" s="3" t="s">
        <v>177</v>
      </c>
      <c r="P25" s="3"/>
    </row>
    <row r="26" spans="1:16" ht="60" x14ac:dyDescent="0.25">
      <c r="A26" s="10">
        <v>2024</v>
      </c>
      <c r="B26" s="5" t="s">
        <v>51</v>
      </c>
      <c r="C26" s="12" t="s">
        <v>62</v>
      </c>
      <c r="D26" s="18" t="s">
        <v>133</v>
      </c>
      <c r="E26" s="14" t="s">
        <v>121</v>
      </c>
      <c r="F26" s="11" t="b">
        <f>_xlfn.LET(_xlpm.ok,COUNTIF(G26:I26,TRUE),_xlpm.av,COUNTIF(G26:I26,"À vérifier"),IF(_xlpm.ok&gt;=2,TRUE,IF(_xlpm.ok+_xlpm.av&gt;=2,"À vérifier",FALSE)))</f>
        <v>1</v>
      </c>
      <c r="G26" s="11" t="b">
        <v>1</v>
      </c>
      <c r="H26" s="11" t="b">
        <v>1</v>
      </c>
      <c r="I26" s="11" t="b">
        <v>1</v>
      </c>
      <c r="J26" s="1" t="s">
        <v>107</v>
      </c>
      <c r="K26" s="1" t="s">
        <v>5</v>
      </c>
      <c r="L26" s="1">
        <v>45337</v>
      </c>
      <c r="M26" s="2" t="s">
        <v>83</v>
      </c>
      <c r="N26" s="2" t="s">
        <v>31</v>
      </c>
      <c r="O26" s="3" t="s">
        <v>178</v>
      </c>
      <c r="P26" s="3"/>
    </row>
    <row r="27" spans="1:16" ht="75" x14ac:dyDescent="0.25">
      <c r="A27" s="10">
        <v>2024</v>
      </c>
      <c r="B27" s="5" t="s">
        <v>51</v>
      </c>
      <c r="C27" s="12" t="s">
        <v>138</v>
      </c>
      <c r="D27" s="20" t="s">
        <v>163</v>
      </c>
      <c r="E27" s="14" t="s">
        <v>187</v>
      </c>
      <c r="F27" s="11" t="str">
        <f>_xlfn.LET(_xlpm.ok,COUNTIF(G27:I27,TRUE),_xlpm.av,COUNTIF(G27:I27,"À vérifier"),IF(_xlpm.ok&gt;=2,TRUE,IF(_xlpm.ok+_xlpm.av&gt;=2,"À vérifier",FALSE)))</f>
        <v>À vérifier</v>
      </c>
      <c r="G27" s="11" t="s">
        <v>5</v>
      </c>
      <c r="H27" s="11" t="s">
        <v>5</v>
      </c>
      <c r="I27" s="11" t="s">
        <v>5</v>
      </c>
      <c r="J27" s="1" t="s">
        <v>144</v>
      </c>
      <c r="K27" s="1">
        <v>45266</v>
      </c>
      <c r="L27" s="1">
        <v>45337</v>
      </c>
      <c r="M27" s="2" t="s">
        <v>139</v>
      </c>
      <c r="N27" s="2" t="s">
        <v>140</v>
      </c>
      <c r="O27" s="3" t="s">
        <v>177</v>
      </c>
      <c r="P27" s="2"/>
    </row>
    <row r="28" spans="1:16" ht="60" x14ac:dyDescent="0.25">
      <c r="A28" s="10">
        <v>2023</v>
      </c>
      <c r="B28" s="5" t="s">
        <v>51</v>
      </c>
      <c r="C28" s="12" t="s">
        <v>65</v>
      </c>
      <c r="D28" s="20" t="s">
        <v>156</v>
      </c>
      <c r="E28" s="14" t="s">
        <v>129</v>
      </c>
      <c r="F28" s="11" t="b">
        <f>_xlfn.LET(_xlpm.ok,COUNTIF(G28:I28,TRUE),_xlpm.av,COUNTIF(G28:I28,"À vérifier"),IF(_xlpm.ok&gt;=2,TRUE,IF(_xlpm.ok+_xlpm.av&gt;=2,"À vérifier",FALSE)))</f>
        <v>1</v>
      </c>
      <c r="G28" s="11" t="b">
        <v>1</v>
      </c>
      <c r="H28" s="11" t="b">
        <v>1</v>
      </c>
      <c r="I28" s="11" t="b">
        <v>1</v>
      </c>
      <c r="J28" s="1" t="s">
        <v>100</v>
      </c>
      <c r="K28" s="1" t="s">
        <v>5</v>
      </c>
      <c r="L28" s="1">
        <v>45259</v>
      </c>
      <c r="M28" s="2" t="s">
        <v>85</v>
      </c>
      <c r="N28" s="2" t="s">
        <v>43</v>
      </c>
      <c r="O28" s="2" t="s">
        <v>11</v>
      </c>
      <c r="P28" s="2"/>
    </row>
    <row r="29" spans="1:16" ht="15" customHeight="1" x14ac:dyDescent="0.25">
      <c r="A29" s="10">
        <v>2023</v>
      </c>
      <c r="B29" s="5" t="s">
        <v>51</v>
      </c>
      <c r="C29" s="12" t="s">
        <v>6</v>
      </c>
      <c r="D29" s="20" t="s">
        <v>155</v>
      </c>
      <c r="E29" s="14" t="s">
        <v>188</v>
      </c>
      <c r="F29" s="11" t="b">
        <f>_xlfn.LET(_xlpm.ok,COUNTIF(G29:I29,TRUE),_xlpm.av,COUNTIF(G29:I29,"À vérifier"),IF(_xlpm.ok&gt;=2,TRUE,IF(_xlpm.ok+_xlpm.av&gt;=2,"À vérifier",FALSE)))</f>
        <v>1</v>
      </c>
      <c r="G29" s="11" t="b">
        <v>1</v>
      </c>
      <c r="H29" s="11" t="b">
        <v>1</v>
      </c>
      <c r="I29" s="11" t="b">
        <v>0</v>
      </c>
      <c r="J29" s="1" t="s">
        <v>101</v>
      </c>
      <c r="K29" s="1" t="s">
        <v>5</v>
      </c>
      <c r="L29" s="1">
        <v>45111</v>
      </c>
      <c r="M29" s="2" t="s">
        <v>86</v>
      </c>
      <c r="N29" s="2" t="s">
        <v>20</v>
      </c>
      <c r="O29" s="3" t="s">
        <v>179</v>
      </c>
      <c r="P29" s="3"/>
    </row>
    <row r="30" spans="1:16" ht="15" customHeight="1" x14ac:dyDescent="0.25">
      <c r="A30" s="10">
        <v>2023</v>
      </c>
      <c r="B30" s="5" t="s">
        <v>51</v>
      </c>
      <c r="C30" s="12" t="s">
        <v>4</v>
      </c>
      <c r="D30" s="20" t="s">
        <v>152</v>
      </c>
      <c r="E30" s="14" t="s">
        <v>126</v>
      </c>
      <c r="F30" s="11" t="b">
        <f>_xlfn.LET(_xlpm.ok,COUNTIF(G30:I30,TRUE),_xlpm.av,COUNTIF(G30:I30,"À vérifier"),IF(_xlpm.ok&gt;=2,TRUE,IF(_xlpm.ok+_xlpm.av&gt;=2,"À vérifier",FALSE)))</f>
        <v>1</v>
      </c>
      <c r="G30" s="11" t="b">
        <v>0</v>
      </c>
      <c r="H30" s="11" t="b">
        <v>1</v>
      </c>
      <c r="I30" s="11" t="b">
        <v>1</v>
      </c>
      <c r="J30" s="1" t="s">
        <v>110</v>
      </c>
      <c r="K30" s="1">
        <v>44845</v>
      </c>
      <c r="L30" s="1">
        <v>45028</v>
      </c>
      <c r="M30" s="2" t="s">
        <v>87</v>
      </c>
      <c r="N30" s="2" t="s">
        <v>18</v>
      </c>
      <c r="O30" s="3" t="s">
        <v>180</v>
      </c>
      <c r="P30" s="3"/>
    </row>
    <row r="31" spans="1:16" ht="15" customHeight="1" x14ac:dyDescent="0.25">
      <c r="A31" s="10">
        <v>2023</v>
      </c>
      <c r="B31" s="5" t="s">
        <v>51</v>
      </c>
      <c r="C31" s="12" t="s">
        <v>66</v>
      </c>
      <c r="D31" s="20" t="s">
        <v>153</v>
      </c>
      <c r="E31" s="14" t="s">
        <v>189</v>
      </c>
      <c r="F31" s="11" t="b">
        <f>_xlfn.LET(_xlpm.ok,COUNTIF(G31:I31,TRUE),_xlpm.av,COUNTIF(G31:I31,"À vérifier"),IF(_xlpm.ok&gt;=2,TRUE,IF(_xlpm.ok+_xlpm.av&gt;=2,"À vérifier",FALSE)))</f>
        <v>1</v>
      </c>
      <c r="G31" s="11" t="b">
        <v>1</v>
      </c>
      <c r="H31" s="11" t="b">
        <v>1</v>
      </c>
      <c r="I31" s="11" t="b">
        <v>1</v>
      </c>
      <c r="J31" s="1" t="s">
        <v>102</v>
      </c>
      <c r="K31" s="1" t="s">
        <v>5</v>
      </c>
      <c r="L31" s="1">
        <f>DATE(2022,11,17)</f>
        <v>44882</v>
      </c>
      <c r="M31" s="2" t="s">
        <v>88</v>
      </c>
      <c r="N31" s="2" t="s">
        <v>53</v>
      </c>
      <c r="O31" s="2" t="s">
        <v>11</v>
      </c>
      <c r="P31" s="2"/>
    </row>
  </sheetData>
  <autoFilter ref="A1:P31" xr:uid="{00000000-0001-0000-0000-000000000000}">
    <sortState xmlns:xlrd2="http://schemas.microsoft.com/office/spreadsheetml/2017/richdata2" ref="A2:P31">
      <sortCondition descending="1" ref="L2:L31"/>
    </sortState>
  </autoFilter>
  <sortState xmlns:xlrd2="http://schemas.microsoft.com/office/spreadsheetml/2017/richdata2" ref="A2:P31">
    <sortCondition descending="1" ref="L2:L31"/>
  </sortState>
  <conditionalFormatting sqref="A2:P31">
    <cfRule type="containsText" dxfId="7" priority="4" operator="containsText" text="vérifier">
      <formula>NOT(ISERROR(SEARCH("vérifier",A2)))</formula>
    </cfRule>
    <cfRule type="containsText" dxfId="6" priority="5" operator="containsText" text="retrouver">
      <formula>NOT(ISERROR(SEARCH("retrouver",A2)))</formula>
    </cfRule>
    <cfRule type="containsText" dxfId="5" priority="6" operator="containsText" text="préciser">
      <formula>NOT(ISERROR(SEARCH("préciser",A2)))</formula>
    </cfRule>
  </conditionalFormatting>
  <conditionalFormatting sqref="D2:D31">
    <cfRule type="expression" dxfId="4" priority="1" stopIfTrue="1">
      <formula>LEN(TRIM($D2))=0</formula>
    </cfRule>
    <cfRule type="expression" dxfId="3" priority="2" stopIfTrue="1">
      <formula>ISNUMBER(SEARCH("CGT39",$D2))</formula>
    </cfRule>
    <cfRule type="expression" dxfId="2" priority="3" stopIfTrue="1">
      <formula>OR(ISNUMBER(SEARCH("HRLibrary",$D2)),ISNUMBER(SEARCH("BDESE",$D2)))</formula>
    </cfRule>
  </conditionalFormatting>
  <conditionalFormatting sqref="F2:I31">
    <cfRule type="expression" dxfId="1" priority="19">
      <formula>F2=TRUE</formula>
    </cfRule>
    <cfRule type="expression" dxfId="0" priority="20">
      <formula>F2=FALSE</formula>
    </cfRule>
  </conditionalFormatting>
  <hyperlinks>
    <hyperlink ref="D8" r:id="rId1" xr:uid="{2EC36556-9A1E-448F-990C-1BFE28A28515}"/>
    <hyperlink ref="D7" r:id="rId2" xr:uid="{A9AF55B6-9AF4-441B-BF54-A1A9640D2C9D}"/>
    <hyperlink ref="D27" r:id="rId3" display="https://nokia.sharepoint.com/sites/HRLibrary/Controlled%20Documents/HR%20Regions/Europe%20South/France/HR%20SOPs-Guidelines-Policy/Harmonized/Accords%20conventions%202024/Avenant%20Proc%C3%A8s-verbal%20de%20d%C3%A9saccord%20NAO%202024%20(9%20avril%202024).pdf" xr:uid="{F6B82D88-92B4-4369-B825-E6CFE444F804}"/>
    <hyperlink ref="D17" r:id="rId4" xr:uid="{6A46598A-BCC9-4794-AE14-7CBA11E19EBB}"/>
    <hyperlink ref="D22" r:id="rId5" xr:uid="{5C4C6E25-614E-4F25-8AA8-26F96EA1D6FC}"/>
    <hyperlink ref="D30" r:id="rId6" xr:uid="{B32EB3EF-DF8F-4ACB-9052-ED0420F2EB20}"/>
    <hyperlink ref="D3" r:id="rId7" xr:uid="{38397C78-3308-4427-88D7-4FD669271978}"/>
    <hyperlink ref="D24" r:id="rId8" xr:uid="{C9C0BF18-CF80-4BAF-B84A-71DFE1F4CEF1}"/>
    <hyperlink ref="D5" r:id="rId9" xr:uid="{C043EA89-0A53-4B71-AC0C-5C4306E62617}"/>
    <hyperlink ref="D31" r:id="rId10" xr:uid="{9603D9FE-6A53-4857-AF9A-7B4CEFEEA9BC}"/>
    <hyperlink ref="D9" r:id="rId11" xr:uid="{82282E9B-CCA9-434A-AE8B-F46BDD379264}"/>
    <hyperlink ref="D11" r:id="rId12" xr:uid="{9C779CF0-9D36-4133-B425-014C0E592614}"/>
    <hyperlink ref="D12" r:id="rId13" xr:uid="{1CAF7A33-3FE3-42CD-B630-103D55FCDBB0}"/>
    <hyperlink ref="D10" r:id="rId14" xr:uid="{85C39618-C574-4EEC-8C06-0BC340D4273B}"/>
    <hyperlink ref="D13" r:id="rId15" xr:uid="{E88B21CF-4C2B-47AB-B153-EB4D68F183C9}"/>
    <hyperlink ref="D15" r:id="rId16" display="https://nokia.sharepoint.com/sites/HRLibrary/Controlled%20Documents/HR%20Regions/Europe%20South/France/HR%20SOPs-Guidelines-Policy/Harmonized/Accords%20conventions%202025/Accord%20d'entreprise%20relatif%20au%20Plan%20d'Epargne%20Entreprise%20au%20sein%20de%20Nokia%20Networks%20France%20(16%20d%c3%a9cembre%202025).pdf" xr:uid="{BF514F36-2459-4883-A6C8-AB19CDC9D51E}"/>
    <hyperlink ref="D6" r:id="rId17" xr:uid="{4293582A-4729-404B-A1F9-27BD5C6AE9EF}"/>
    <hyperlink ref="D20" r:id="rId18" xr:uid="{66CCDBE2-5BD8-413A-AB11-C366112FA221}"/>
    <hyperlink ref="D21" r:id="rId19" xr:uid="{7BD096EF-D447-4D18-8E0D-8B7CA7667DD0}"/>
    <hyperlink ref="D29" r:id="rId20" xr:uid="{1DF5F389-89B7-4CD3-9441-863D74582C91}"/>
    <hyperlink ref="D28" r:id="rId21" xr:uid="{4269F357-C8F2-420C-B59A-A22ABA10DA95}"/>
    <hyperlink ref="D25" r:id="rId22" xr:uid="{E700AC18-B723-46FB-8F25-E39C3349C173}"/>
    <hyperlink ref="D4" r:id="rId23" xr:uid="{AC32DDA2-E891-4AAF-A605-5D7F14DCCD21}"/>
    <hyperlink ref="D23" r:id="rId24" xr:uid="{29A2B983-F112-4EE6-9B44-0F1CB988C6C1}"/>
    <hyperlink ref="D16" r:id="rId25" display="https://nokia.sharepoint.com/sites/HRLibrary/Controlled%20Documents/HR%20Regions/Europe%20South/France/HR%20SOPs-Guidelines-Policy/Harmonized/Accords%20conventions%202025/Accord%20d'entreprise%20relatif%20au%20Plan%20d'Epargne%20Retraite%20d'Entreprise%20Collectif%20PERCOL%20(16%20d%c3%a9cembre%202025).pdf" xr:uid="{ADB6C391-B664-442C-84BE-32EB612092D0}"/>
    <hyperlink ref="D14" r:id="rId26" display="https://nokia.sharepoint.com/sites/HRLibrary/Controlled%20Documents/HR%20Regions/Europe%20South/France/Plan-de-transformation/RCC%202025/Accord%20collectif%20portant%20sur%20une%20Rupture%20Conventionnelle%20Collective%20(RCC)%20au%20sein%20de%20Nokia%20Networks%20France%20(compress%c3%a9).pdf" xr:uid="{CDF018D6-A914-4E6F-BC99-C9BC7058618D}"/>
    <hyperlink ref="O27" r:id="rId27" xr:uid="{795404A2-F15F-4A6A-94CF-0EC12677A11E}"/>
  </hyperlinks>
  <pageMargins left="0.7" right="0.7" top="0.75" bottom="0.75" header="0.3" footer="0.3"/>
  <pageSetup orientation="portrait" r:id="rId28"/>
  <headerFooter>
    <oddFooter>&amp;C_x000D_&amp;1#&amp;"Aptos"&amp;8&amp;K000000 Nokia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1360-D0DF-42E4-8989-040F8979EEC8}">
  <dimension ref="A1"/>
  <sheetViews>
    <sheetView workbookViewId="0">
      <pane ySplit="1" topLeftCell="A3" activePane="bottomLeft" state="frozen"/>
      <selection pane="bottomLeft" activeCell="B55" sqref="B55"/>
    </sheetView>
  </sheetViews>
  <sheetFormatPr defaultColWidth="12.140625" defaultRowHeight="15" customHeight="1" x14ac:dyDescent="0.25"/>
  <sheetData/>
  <pageMargins left="0.7" right="0.7" top="0.75" bottom="0.75" header="0.3" footer="0.3"/>
  <headerFooter>
    <oddFooter>&amp;C_x000D_&amp;1#&amp;"Aptos"&amp;8&amp;K000000 Nokia internal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haredContentType xmlns="Microsoft.SharePoint.Taxonomy.ContentTypeSync" SourceId="34c87397-5fc1-491e-85e7-d6110dbe9cbd" ContentTypeId="0x01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9E45C7454FD54C9F3832CA2EC2299C" ma:contentTypeVersion="18" ma:contentTypeDescription="Create a new document." ma:contentTypeScope="" ma:versionID="598b0ce14474b8a06003600b576ad2b7">
  <xsd:schema xmlns:xsd="http://www.w3.org/2001/XMLSchema" xmlns:xs="http://www.w3.org/2001/XMLSchema" xmlns:p="http://schemas.microsoft.com/office/2006/metadata/properties" xmlns:ns2="71c5aaf6-e6ce-465b-b873-5148d2a4c105" xmlns:ns3="4a0c25b5-f40f-4aa1-8c63-969f2512d63e" xmlns:ns4="98344022-9d6c-42ca-8763-b68a110aeabc" targetNamespace="http://schemas.microsoft.com/office/2006/metadata/properties" ma:root="true" ma:fieldsID="3f3517c15821bb310180c621d8d765fa" ns2:_="" ns3:_="" ns4:_="">
    <xsd:import namespace="71c5aaf6-e6ce-465b-b873-5148d2a4c105"/>
    <xsd:import namespace="4a0c25b5-f40f-4aa1-8c63-969f2512d63e"/>
    <xsd:import namespace="98344022-9d6c-42ca-8763-b68a110aeabc"/>
    <xsd:element name="properties">
      <xsd:complexType>
        <xsd:sequence>
          <xsd:element name="documentManagement">
            <xsd:complexType>
              <xsd:all>
                <xsd:element ref="ns2:HideFromDelve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HideFromDelve" ma:index="8" nillable="true" ma:displayName="HideFromDelve" ma:default="0" ma:internalName="HideFromDelve">
      <xsd:simpleType>
        <xsd:restriction base="dms:Boolean"/>
      </xsd:simpleType>
    </xsd:element>
    <xsd:element name="TaxCatchAll" ma:index="17" nillable="true" ma:displayName="Taxonomy Catch All Column" ma:hidden="true" ma:list="{b30ead92-cf25-42bf-9b42-06bca6111906}" ma:internalName="TaxCatchAll" ma:showField="CatchAllData" ma:web="98344022-9d6c-42ca-8763-b68a110aea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4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c25b5-f40f-4aa1-8c63-969f2512d6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4c87397-5fc1-491e-85e7-d6110dbe9c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44022-9d6c-42ca-8763-b68a110aeab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1c5aaf6-e6ce-465b-b873-5148d2a4c105">AUIRPTAIMRO3-1066683228-25558</_dlc_DocId>
    <HideFromDelve xmlns="71c5aaf6-e6ce-465b-b873-5148d2a4c105">false</HideFromDelve>
    <_dlc_DocIdUrl xmlns="71c5aaf6-e6ce-465b-b873-5148d2a4c105">
      <Url>https://nokia.sharepoint.com/sites/CGT39/_layouts/15/DocIdRedir.aspx?ID=AUIRPTAIMRO3-1066683228-25558</Url>
      <Description>AUIRPTAIMRO3-1066683228-25558</Description>
    </_dlc_DocIdUrl>
    <lcf76f155ced4ddcb4097134ff3c332f xmlns="4a0c25b5-f40f-4aa1-8c63-969f2512d63e">
      <Terms xmlns="http://schemas.microsoft.com/office/infopath/2007/PartnerControls"/>
    </lcf76f155ced4ddcb4097134ff3c332f>
    <TaxCatchAll xmlns="71c5aaf6-e6ce-465b-b873-5148d2a4c105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F206293D-C2BD-4A18-87E2-049D4E2924C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5AD6385-0C64-4344-9EFB-A995A9D73E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4a0c25b5-f40f-4aa1-8c63-969f2512d63e"/>
    <ds:schemaRef ds:uri="98344022-9d6c-42ca-8763-b68a110ae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AC870E-20A6-413C-B639-D560014F1A64}">
  <ds:schemaRefs>
    <ds:schemaRef ds:uri="http://schemas.microsoft.com/office/2006/metadata/properties"/>
    <ds:schemaRef ds:uri="http://schemas.microsoft.com/office/infopath/2007/PartnerControls"/>
    <ds:schemaRef ds:uri="71c5aaf6-e6ce-465b-b873-5148d2a4c105"/>
    <ds:schemaRef ds:uri="4a0c25b5-f40f-4aa1-8c63-969f2512d63e"/>
  </ds:schemaRefs>
</ds:datastoreItem>
</file>

<file path=customXml/itemProps4.xml><?xml version="1.0" encoding="utf-8"?>
<ds:datastoreItem xmlns:ds="http://schemas.openxmlformats.org/officeDocument/2006/customXml" ds:itemID="{00212693-9A04-49E1-8889-2B5CE2179943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4FEF070B-3FE9-48F0-B828-11286F698DFA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610b643-e0dc-49a3-bdd7-06f3c6cb789f}" enabled="1" method="Privileged" siteId="{5d471751-9675-428d-917b-70f44f9630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accords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Yacine El Mghazli (Nokia)</dc:creator>
  <cp:lastModifiedBy>Yacine El Mghazli (Nokia)</cp:lastModifiedBy>
  <dcterms:created xsi:type="dcterms:W3CDTF">2015-06-05T18:17:20Z</dcterms:created>
  <dcterms:modified xsi:type="dcterms:W3CDTF">2026-10-02T13:12:20Z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0x0101005C9E45C7454FD54C9F3832CA2EC2299C</vt:lpwstr>
  </property>
  <property fmtid="{D5CDD505-2E9C-101B-9397-08002B2CF9AE}" pid="4" name="_dlc_DocIdItemGuid">
    <vt:lpwstr>67e393dc-766b-495d-8075-1c82914eb938</vt:lpwstr>
  </property>
</Properties>
</file>