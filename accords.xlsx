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nokia.sharepoint.com/sites/CGT39/Shared Documents/salariés/accords négociés/"/>
    </mc:Choice>
  </mc:AlternateContent>
  <xr:revisionPtr revIDLastSave="2415" documentId="11_F25DC773A252ABDACC1048A741DB65945BDE58FA" xr6:coauthVersionLast="47" xr6:coauthVersionMax="47" xr10:uidLastSave="{9C22E56B-621D-46D5-938F-717FA532B371}"/>
  <bookViews>
    <workbookView xWindow="-120" yWindow="-120" windowWidth="38640" windowHeight="21120" xr2:uid="{00000000-000D-0000-FFFF-FFFF00000000}"/>
  </bookViews>
  <sheets>
    <sheet name="accords" sheetId="1" r:id="rId1"/>
    <sheet name="rules" sheetId="2" r:id="rId2"/>
  </sheets>
  <definedNames>
    <definedName name="_xlnm._FilterDatabase" localSheetId="0" hidden="1">accords!$A$1:$S$30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7" i="1"/>
  <c r="G11" i="1"/>
  <c r="G12" i="1"/>
  <c r="G15" i="1"/>
  <c r="G16" i="1"/>
  <c r="G17" i="1"/>
  <c r="G19" i="1"/>
  <c r="G20" i="1"/>
  <c r="G25" i="1"/>
  <c r="G28" i="1"/>
  <c r="G29" i="1"/>
  <c r="G30" i="1"/>
  <c r="G31" i="1"/>
  <c r="G32" i="1"/>
  <c r="G33" i="1"/>
  <c r="G38" i="1"/>
  <c r="G40" i="1"/>
  <c r="K40" i="1"/>
  <c r="K39" i="1"/>
  <c r="G39" i="1" s="1"/>
  <c r="K38" i="1"/>
  <c r="K37" i="1"/>
  <c r="G37" i="1" s="1"/>
  <c r="K36" i="1"/>
  <c r="G36" i="1" s="1"/>
  <c r="K35" i="1"/>
  <c r="K34" i="1"/>
  <c r="G34" i="1" s="1"/>
  <c r="K33" i="1"/>
  <c r="K32" i="1"/>
  <c r="K31" i="1"/>
  <c r="K30" i="1"/>
  <c r="K29" i="1"/>
  <c r="K28" i="1"/>
  <c r="K27" i="1"/>
  <c r="G27" i="1" s="1"/>
  <c r="K26" i="1"/>
  <c r="K25" i="1"/>
  <c r="K24" i="1"/>
  <c r="K23" i="1"/>
  <c r="G23" i="1" s="1"/>
  <c r="K22" i="1"/>
  <c r="G22" i="1" s="1"/>
  <c r="K21" i="1"/>
  <c r="G21" i="1" s="1"/>
  <c r="K20" i="1"/>
  <c r="K19" i="1"/>
  <c r="K18" i="1"/>
  <c r="K17" i="1"/>
  <c r="K16" i="1"/>
  <c r="K15" i="1"/>
  <c r="K14" i="1"/>
  <c r="K13" i="1"/>
  <c r="G13" i="1" s="1"/>
  <c r="K12" i="1"/>
  <c r="K11" i="1"/>
  <c r="K10" i="1"/>
  <c r="G10" i="1" s="1"/>
  <c r="K9" i="1"/>
  <c r="G9" i="1" s="1"/>
  <c r="K8" i="1"/>
  <c r="G8" i="1" s="1"/>
  <c r="K7" i="1"/>
  <c r="K6" i="1"/>
  <c r="G6" i="1" s="1"/>
  <c r="K5" i="1"/>
  <c r="G5" i="1" s="1"/>
  <c r="K4" i="1"/>
  <c r="G4" i="1" s="1"/>
  <c r="K3" i="1"/>
  <c r="K2" i="1"/>
  <c r="G2" i="1" s="1"/>
  <c r="E22" i="1" a="1"/>
  <c r="E22" i="1" s="1"/>
  <c r="F3" i="1"/>
  <c r="F4" i="1"/>
  <c r="F19" i="1"/>
  <c r="F20" i="1"/>
  <c r="F16" i="1"/>
  <c r="F7" i="1"/>
  <c r="F28" i="1"/>
  <c r="F30" i="1"/>
  <c r="F39" i="1"/>
  <c r="F38" i="1"/>
  <c r="E3" i="1" a="1"/>
  <c r="E3" i="1" s="1"/>
  <c r="E4" i="1" a="1"/>
  <c r="E4" i="1" s="1"/>
  <c r="E19" i="1" a="1"/>
  <c r="E19" i="1" s="1"/>
  <c r="E20" i="1" a="1"/>
  <c r="E20" i="1" s="1"/>
  <c r="E16" i="1" a="1"/>
  <c r="E16" i="1" s="1"/>
  <c r="E7" i="1" a="1"/>
  <c r="E7" i="1" s="1"/>
  <c r="E28" i="1" a="1"/>
  <c r="E28" i="1" s="1"/>
  <c r="E30" i="1" a="1"/>
  <c r="E30" i="1" s="1"/>
  <c r="E39" i="1" a="1"/>
  <c r="E39" i="1" s="1"/>
  <c r="E38" i="1" a="1"/>
  <c r="E38" i="1" s="1"/>
  <c r="S37" i="1" a="1"/>
  <c r="S37" i="1" s="1"/>
  <c r="S40" i="1" a="1"/>
  <c r="S40" i="1" s="1"/>
  <c r="S36" i="1" a="1"/>
  <c r="S36" i="1" s="1"/>
  <c r="S35" i="1" a="1"/>
  <c r="S35" i="1" s="1"/>
  <c r="S34" i="1" a="1"/>
  <c r="S34" i="1" s="1"/>
  <c r="S33" i="1" a="1"/>
  <c r="S33" i="1" s="1"/>
  <c r="S32" i="1" a="1"/>
  <c r="S32" i="1" s="1"/>
  <c r="S31" i="1" a="1"/>
  <c r="S31" i="1" s="1"/>
  <c r="S26" i="1" a="1"/>
  <c r="S26" i="1" s="1"/>
  <c r="S29" i="1" a="1"/>
  <c r="S29" i="1" s="1"/>
  <c r="S27" i="1" a="1"/>
  <c r="S27" i="1" s="1"/>
  <c r="S25" i="1" a="1"/>
  <c r="S25" i="1" s="1"/>
  <c r="S24" i="1" a="1"/>
  <c r="S24" i="1" s="1"/>
  <c r="S23" i="1" a="1"/>
  <c r="S23" i="1" s="1"/>
  <c r="S22" i="1" a="1"/>
  <c r="S22" i="1" s="1"/>
  <c r="S21" i="1" a="1"/>
  <c r="S21" i="1" s="1"/>
  <c r="S18" i="1" a="1"/>
  <c r="S18" i="1" s="1"/>
  <c r="S17" i="1" a="1"/>
  <c r="S17" i="1" s="1"/>
  <c r="S15" i="1" a="1"/>
  <c r="S15" i="1" s="1"/>
  <c r="S14" i="1" a="1"/>
  <c r="S14" i="1" s="1"/>
  <c r="S13" i="1" a="1"/>
  <c r="S13" i="1" s="1"/>
  <c r="S12" i="1" a="1"/>
  <c r="S12" i="1" s="1"/>
  <c r="S11" i="1" a="1"/>
  <c r="S11" i="1" s="1"/>
  <c r="S10" i="1" a="1"/>
  <c r="S10" i="1" s="1"/>
  <c r="S9" i="1" a="1"/>
  <c r="S9" i="1" s="1"/>
  <c r="S8" i="1" a="1"/>
  <c r="S8" i="1" s="1"/>
  <c r="S6" i="1" a="1"/>
  <c r="S6" i="1" s="1"/>
  <c r="S5" i="1" a="1"/>
  <c r="S5" i="1" s="1"/>
  <c r="S2" i="1" a="1"/>
  <c r="S2" i="1" s="1"/>
  <c r="E37" i="1" a="1"/>
  <c r="E37" i="1" s="1"/>
  <c r="E40" i="1" a="1"/>
  <c r="E40" i="1" s="1"/>
  <c r="E36" i="1" a="1"/>
  <c r="E36" i="1" s="1"/>
  <c r="E35" i="1" a="1"/>
  <c r="E35" i="1" s="1"/>
  <c r="E34" i="1" a="1"/>
  <c r="E34" i="1" s="1"/>
  <c r="E33" i="1" a="1"/>
  <c r="E33" i="1" s="1"/>
  <c r="E32" i="1" a="1"/>
  <c r="E32" i="1" s="1"/>
  <c r="E31" i="1" a="1"/>
  <c r="E31" i="1" s="1"/>
  <c r="E26" i="1" a="1"/>
  <c r="E26" i="1" s="1"/>
  <c r="E29" i="1" a="1"/>
  <c r="E29" i="1" s="1"/>
  <c r="E27" i="1" a="1"/>
  <c r="E27" i="1" s="1"/>
  <c r="E25" i="1" a="1"/>
  <c r="E25" i="1" s="1"/>
  <c r="E24" i="1" a="1"/>
  <c r="E24" i="1" s="1"/>
  <c r="E23" i="1" a="1"/>
  <c r="E23" i="1" s="1"/>
  <c r="E21" i="1" a="1"/>
  <c r="E21" i="1" s="1"/>
  <c r="E18" i="1" a="1"/>
  <c r="E18" i="1" s="1"/>
  <c r="E17" i="1" a="1"/>
  <c r="E17" i="1" s="1"/>
  <c r="E15" i="1" a="1"/>
  <c r="E15" i="1" s="1"/>
  <c r="E14" i="1" a="1"/>
  <c r="E14" i="1" s="1"/>
  <c r="E13" i="1" a="1"/>
  <c r="E13" i="1" s="1"/>
  <c r="E12" i="1" a="1"/>
  <c r="E12" i="1" s="1"/>
  <c r="E11" i="1" a="1"/>
  <c r="E11" i="1" s="1"/>
  <c r="E10" i="1" a="1"/>
  <c r="E10" i="1" s="1"/>
  <c r="E9" i="1" a="1"/>
  <c r="E9" i="1" s="1"/>
  <c r="E8" i="1" a="1"/>
  <c r="E8" i="1" s="1"/>
  <c r="E6" i="1" a="1"/>
  <c r="E6" i="1" s="1"/>
  <c r="E5" i="1" a="1"/>
  <c r="E5" i="1" s="1"/>
  <c r="E2" i="1" a="1"/>
  <c r="E2" i="1" s="1"/>
  <c r="F33" i="1"/>
  <c r="F8" i="1"/>
  <c r="F26" i="1"/>
  <c r="F29" i="1"/>
  <c r="F15" i="1"/>
  <c r="F4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<sst xmlns="http://schemas.openxmlformats.org/spreadsheetml/2006/main" count="400" uniqueCount="298">
  <si>
    <t>Accord ou négociation</t>
  </si>
  <si>
    <t>CGT</t>
  </si>
  <si>
    <t>CFDT</t>
  </si>
  <si>
    <t>CFE-CGC</t>
  </si>
  <si>
    <t>Égalité professionnelle</t>
  </si>
  <si>
    <t>RCC 2023</t>
  </si>
  <si>
    <t>Don de jours</t>
  </si>
  <si>
    <t>RCC 2024</t>
  </si>
  <si>
    <t>-</t>
  </si>
  <si>
    <t>année</t>
  </si>
  <si>
    <t>date VF</t>
  </si>
  <si>
    <t>Position CGT</t>
  </si>
  <si>
    <t>site</t>
  </si>
  <si>
    <t>NNF</t>
  </si>
  <si>
    <t>NPS</t>
  </si>
  <si>
    <t>Handicap</t>
  </si>
  <si>
    <t>Plan d'Epargne Retraite d'Entreprise Collectif (PERCOL)</t>
  </si>
  <si>
    <t>Plan d'Epargne Entreprise (PEE)</t>
  </si>
  <si>
    <t>CET</t>
  </si>
  <si>
    <t>GEPP – PV de désaccord</t>
  </si>
  <si>
    <t>Partage de la valeur – PV de désaccord</t>
  </si>
  <si>
    <t>Intéressement 2025-2028</t>
  </si>
  <si>
    <t>Comité Groupe France (CGF)</t>
  </si>
  <si>
    <t>Substitution non-cadres</t>
  </si>
  <si>
    <t>Remboursement santé</t>
  </si>
  <si>
    <t>NAO 2025 – PV de désaccord</t>
  </si>
  <si>
    <t>NAO 2023 – PV de désaccord</t>
  </si>
  <si>
    <t>RCC 2026 n°2</t>
  </si>
  <si>
    <t>Source signatures</t>
  </si>
  <si>
    <t>https://nokia.sharepoint.com/sites/HRLibrary/Controlled%20Documents/HR%20Regions/Europe%20South/France/HR%20SOPs-Guidelines-Policy/Harmonized/Accords%20conventions%202025/Accord%20CET%20(24%20juillet%202025).pdf</t>
  </si>
  <si>
    <t>https://nokia.sharepoint.com/sites/HRLibrary/Controlled%20Documents/HR%20Regions/Europe%20South/France/HR%20SOPs-Guidelines-Policy/Harmonized/Accords%20conventions%202024/Accord%20cadre%20NPS%20nouvelle%20convention%20collective-%202024%20sign%C3%A9.pdf</t>
  </si>
  <si>
    <t>https://nokia.sharepoint.com/sites/HRLibrary/Controlled%20Documents/HR%20Regions/Europe%20South/France/HR%20SOPs-Guidelines-Policy/Harmonized/Accords%20conventions%202024/Accord%20am%C3%A9nagement%20temps%20travail%20NPS%202024.pdf</t>
  </si>
  <si>
    <t>NAO 2024 – PV de désaccord</t>
  </si>
  <si>
    <t>https://nokia.sharepoint.com/sites/CGT39/Shared%20Documents/salari%C3%A9s/accords%20n%C3%A9goci%C3%A9s/copies/GEPP%20PV%20de%20d%C3%A9saccord%20mis%20%C3%A0%20signature.pdf</t>
  </si>
  <si>
    <t>https://nokia.sharepoint.com/sites/HRLibrary/Controlled%20Documents/HR%20Regions/Europe%20South/France/HR%20SOPs-Guidelines-Policy/Harmonized/Accords%20conventions%202023/Accord%20%C3%A9galit%C3%A9%20professionnelle.pdf</t>
  </si>
  <si>
    <t>https://nokia.sharepoint.com/sites/HRLibrary/Controlled%20Documents/HR%20Regions/Europe%20South/France/HR%20SOPs-Guidelines-Policy/Harmonized/Accords%20conventions%202023/Accord%20remboursement%20sant%C3%A9%20-%202023.pdf</t>
  </si>
  <si>
    <t>https://nokia.sharepoint.com/sites/HRLibrary/Controlled%20Documents/HR%20Regions/Europe%20South/France/Plan-de-transformation/RCC%202023/Accord%20RCC%202023.pdf</t>
  </si>
  <si>
    <t>https://nokia.sharepoint.com/sites/HRLibrary/Controlled%20Documents/HR%20Regions/Europe%20South/France/HR%20SOPs-Guidelines-Policy/Harmonized/Accords%20conventions%202023/Accord%20de%20substitution%20non%20cadres%20-%2030%20novembre%202023.pdf</t>
  </si>
  <si>
    <t>https://nokia.sharepoint.com/sites/HRLibrary/Controlled%20Documents/HR%20Regions/Europe%20South/France/Plan-de-transformation/RCC%202024/Accord%20RCC%202024%20(19%20avril%202024).pdf</t>
  </si>
  <si>
    <t>https://nokia.sharepoint.com/sites/HRLibrary/Controlled%20Documents/HR%20Regions/Europe%20South/France/HR%20SOPs-Guidelines-Policy/Harmonized/Accord%20CGF.pdf</t>
  </si>
  <si>
    <t>https://nokia.sharepoint.com/sites/HRLibrary/Controlled%20Documents/HR%20Regions/Europe%20South/France/Plan-de-transformation/RCC%202026/Accord_RCC_2026.pdf</t>
  </si>
  <si>
    <t>https://nokia.sharepoint.com/sites/HRLibrary/Controlled%20Documents/HR%20Regions/Europe%20South/France/HR%20SOPs-Guidelines-Policy/Harmonized/Accords%20conventions%202023/NAO%202023%20-%20PV%20d%C3%A9saccord.pdf</t>
  </si>
  <si>
    <t>https://nokia.sharepoint.com/sites/HRLibrary/Controlled%20Documents/HR%20Regions/Europe%20South/France/HR%20SOPs-Guidelines-Policy/Harmonized/Accords%20conventions%202024/Accord%20don%20de%20jours%2014%20novembre%202024.pdf</t>
  </si>
  <si>
    <t>https://nokia.sharepoint.com/sites/HRLibrary/Controlled%20Documents/HR%20Regions/Europe%20South/France/HR%20SOPs-Guidelines-Policy/Harmonized/Accords%20conventions%202024/Avenant%20Proc%C3%A8s-verbal%20de%20d%C3%A9saccord%20NAO%202024%20(9%20avril%202024).pdf</t>
  </si>
  <si>
    <t>https://nokia.sharepoint.com/sites/HRLibrary/Controlled%20Documents/HR%20Regions/Europe%20South/France/HR%20SOPs-Guidelines-Policy/Harmonized/Accords%20conventions%202025/Proc%C3%A8s%20verbal%20NAO%20(d%C3%A9saccord)%202025%20(27%20mars%202025).pdf</t>
  </si>
  <si>
    <t>https://nokia.sharepoint.com/sites/HRLibrary/Controlled%20Documents/HR%20Regions/Europe%20South/France/HR%20SOPs-Guidelines-Policy/Harmonized/Temps%20de%20travail/Accord%20Am%C3%A9nagement%20Temps%20Travail%20NPS%202026%20(19%20d%C3%A9cembre%202025).pdf</t>
  </si>
  <si>
    <t>https://nokia.sharepoint.com/sites/CGT39/Shared%20Documents/salari%C3%A9s/tracts%20diffus%C3%A9s/2026/2026_06_TRACT-RetourSondageRCC2026-2.pdf</t>
  </si>
  <si>
    <t>https://nokia.sharepoint.com/sites/CGT39/Shared%20Documents/salari%C3%A9s/tracts%20diffus%C3%A9s/2025/tract_pour_ceux_qui_restent.pdf</t>
  </si>
  <si>
    <t>https://nokia.sharepoint.com/sites/CGT39/Shared%20Documents/salari%C3%A9s/tracts%20diffus%C3%A9s/2025/tract_rcc_2026.pdf</t>
  </si>
  <si>
    <t>https://nokia.sharepoint.com/sites/CGT39/Shared%20Documents/salari%C3%A9s/tracts%20diffus%C3%A9s/2025/tract-salaires-2025.pdf</t>
  </si>
  <si>
    <t>https://nokia.sharepoint.com/sites/CGT39/Shared%20Documents/salari%C3%A9s/tracts%20diffus%C3%A9s/2025/tract-avenant-TL-v2.pdf</t>
  </si>
  <si>
    <t>https://nokia.sharepoint.com/sites/CGT39/Shared%20Documents/salari%C3%A9s/tracts%20diffus%C3%A9s/2024/tract_bilan_rcc24_v4.pdf</t>
  </si>
  <si>
    <t>https://nokia.sharepoint.com/sites/CGT39/Shared%20Documents/salari%C3%A9s/tracts%20diffus%C3%A9s/2023/ncc%20cotation%203.pdf</t>
  </si>
  <si>
    <t>https://nokia.sharepoint.com/sites/CGT39/Shared%20Documents/salari%C3%A9s/tracts%20diffus%C3%A9s/2023/Tract%20Volontariat%20RCC.pdf</t>
  </si>
  <si>
    <t>https://nokia.sharepoint.com/sites/CGT39/Shared%20Documents/salari%C3%A9s/tracts%20diffus%C3%A9s/2023/Tract%20br%C3%A8ves%20de%20printemps.pdf</t>
  </si>
  <si>
    <t>page signature</t>
  </si>
  <si>
    <t>RCC 2026 n°1</t>
  </si>
  <si>
    <t>Aménagement du temps de travail 2026</t>
  </si>
  <si>
    <t>Avenant RCC 2026 n°1</t>
  </si>
  <si>
    <t>NAO 2026</t>
  </si>
  <si>
    <t>Aménagement du temps de travail 2024</t>
  </si>
  <si>
    <t>Avenant télétravail</t>
  </si>
  <si>
    <t>Aménagement du temps de travail 2025</t>
  </si>
  <si>
    <t>Nouvelle convention collective</t>
  </si>
  <si>
    <t>Harmonisation du taux de bonus</t>
  </si>
  <si>
    <t>Avenant CSE</t>
  </si>
  <si>
    <t>https://nokia.sharepoint.com/sites/HRLibrary/Controlled%20Documents/HR%20Regions/Europe%20South/France/Plan-de-transformation/RCC%202025/Avenant%20RCC%202025.pdf</t>
  </si>
  <si>
    <t>https://nokia.sharepoint.com/sites/CGT39/Shared%20Documents/salari%C3%A9s/accords%20n%C3%A9goci%C3%A9s/captures_signatures/rh_Accord_CGF_p10_signature.jpg</t>
  </si>
  <si>
    <t>https://nokia.sharepoint.com/sites/CGT39/Shared%20Documents/salari%C3%A9s/accords%20n%C3%A9goci%C3%A9s/captures_signatures/rh_Accord_amenagement_temps_travail_NPS_2024_p04_signature.jpg</t>
  </si>
  <si>
    <t>https://nokia.sharepoint.com/sites/CGT39/Shared%20Documents/salari%C3%A9s/accords%20n%C3%A9goci%C3%A9s/captures_signatures/rh_Accord_RCC_2026_p54_signature.jpg</t>
  </si>
  <si>
    <t>https://nokia.sharepoint.com/sites/CGT39/Shared%20Documents/salari%C3%A9s/accords%20n%C3%A9goci%C3%A9s/captures_signatures/rh_Avenant_no_1_a_l_Accord_CSE_du_21_septembre_2018_p10_signature.jpg</t>
  </si>
  <si>
    <t>https://nokia.sharepoint.com/sites/CGT39/Shared%20Documents/salari%C3%A9s/accords%20n%C3%A9goci%C3%A9s/captures_signatures/rh_NAO_2026_Proces_verbal_d_accord_24_janvier_2026_p07_signature.jpg</t>
  </si>
  <si>
    <t>https://nokia.sharepoint.com/sites/CGT39/Shared%20Documents/salari%C3%A9s/accords%20n%C3%A9goci%C3%A9s/captures_signatures/rh_Avenant_RCC_2025_p07_signature.jpg</t>
  </si>
  <si>
    <t>https://nokia.sharepoint.com/sites/CGT39/Shared%20Documents/salari%C3%A9s/accords%20n%C3%A9goci%C3%A9s/captures_signatures/rh_Accord_Amenagement_Temps_Travail_NPS_2026_19_decembre_2025_p03_signature.jpg</t>
  </si>
  <si>
    <t>https://nokia.sharepoint.com/sites/CGT39/Shared%20Documents/salari%C3%A9s/accords%20n%C3%A9goci%C3%A9s/captures_signatures/rh_Accord_collectif_portant_sur_une_Rupture_Conventionnelle_Collective_RCC__p52_signature.jpg</t>
  </si>
  <si>
    <t>https://nokia.sharepoint.com/sites/CGT39/Shared%20Documents/salari%C3%A9s/accords%20n%C3%A9goci%C3%A9s/captures_signatures/rh_Accord_d_entreprise_relatif_au_Plan_d_Epargne_Entreprise_au_sein_de_Noki_p17-18_signatures.jpg</t>
  </si>
  <si>
    <t>https://nokia.sharepoint.com/sites/CGT39/Shared%20Documents/salari%C3%A9s/accords%20n%C3%A9goci%C3%A9s/captures_signatures/rh_Accord_d_entreprise_relatif_au_Plan_d_Epargne_Retraite_d_Entreprise_Coll_p20-21_signatures.jpg</t>
  </si>
  <si>
    <t>https://nokia.sharepoint.com/sites/CGT39/Shared%20Documents/salari%C3%A9s/accords%20n%C3%A9goci%C3%A9s/captures_signatures/rh_Accord_CET_24_juillet_2025_p13-14_signatures.jpg</t>
  </si>
  <si>
    <t>https://nokia.sharepoint.com/sites/CGT39/Shared%20Documents/salari%C3%A9s/accords%20n%C3%A9goci%C3%A9s/captures_signatures/rh_Accord_d_interessement_2025_2028_p16_signature.jpg</t>
  </si>
  <si>
    <t>https://nokia.sharepoint.com/sites/CGT39/Shared%20Documents/salari%C3%A9s/accords%20n%C3%A9goci%C3%A9s/captures_signatures/rh_Avenant_accord_teletravail_avril_2022_p07_signature.jpg</t>
  </si>
  <si>
    <t>https://nokia.sharepoint.com/sites/CGT39/Shared%20Documents/salari%C3%A9s/accords%20n%C3%A9goci%C3%A9s/captures_signatures/rh_Accord_don_de_jours_14_novembre_2024_p11_signature.jpg</t>
  </si>
  <si>
    <t>https://nokia.sharepoint.com/sites/CGT39/Shared%20Documents/salari%C3%A9s/accords%20n%C3%A9goci%C3%A9s/captures_signatures/rh_Accord_RCC_2024_19_avril_2024_p47_signature.jpg</t>
  </si>
  <si>
    <t>https://nokia.sharepoint.com/sites/CGT39/Shared%20Documents/salari%C3%A9s/accords%20n%C3%A9goci%C3%A9s/captures_signatures/rh_Accord_cadre_NPS_nouvelle_convention_collective_2024_signe_p06_signature.jpg</t>
  </si>
  <si>
    <t>https://nokia.sharepoint.com/sites/CGT39/Shared%20Documents/salari%C3%A9s/accords%20n%C3%A9goci%C3%A9s/captures_signatures/rh_Accord_de_substitution_non_cadres_30_novembre_2023_p09_signature.jpg</t>
  </si>
  <si>
    <t>https://nokia.sharepoint.com/sites/CGT39/Shared%20Documents/salari%C3%A9s/accords%20n%C3%A9goci%C3%A9s/captures_signatures/rh_Accord_RCC_2023_p49_signature.jpg</t>
  </si>
  <si>
    <t>https://nokia.sharepoint.com/sites/CGT39/Shared%20Documents/salari%C3%A9s/accords%20n%C3%A9goci%C3%A9s/captures_signatures/rh_Accord_remboursement_sante_2023_p11_signature.jpg</t>
  </si>
  <si>
    <t>p.10 : signatures de la Direction, de la CFDT, de la CFE-CGC et de la CGT.</t>
  </si>
  <si>
    <t>p.7 : signatures de la Direction, de la CFDT, de la CFE-CGC et de la CGT.</t>
  </si>
  <si>
    <t>PV de désaccord valide unilatéralement ; aucun accord collectif n’a été signé.</t>
  </si>
  <si>
    <t>p.11 : signatures de la Direction, de la CFDT, de la CFE-CGC, de la CFTC et de la CGT.</t>
  </si>
  <si>
    <t>p.10 : signatures de la CFDT, de la CFE-CGC et de la CGT (signature électronique).</t>
  </si>
  <si>
    <t>p.47 : signatures de la Direction, de la CFDT, de la CFE-CGC, de la CGT et de la CFTC.</t>
  </si>
  <si>
    <t>p.9 : signatures de la Direction, de la CFDT, de la CFE-CGC et de la CGT.</t>
  </si>
  <si>
    <t>p.16 : signatures de la Direction, de la CFDT, de la CFE-CGC et de la CGT.</t>
  </si>
  <si>
    <t>https://nokia.sharepoint.com/sites/CGT39/Shared%20Documents/salari%C3%A9s/accords%20n%C3%A9goci%C3%A9s/captures_signatures/rh_Accord_egalite_professionnelle_p20_signature.jpg</t>
  </si>
  <si>
    <t>Aménagement du temps de travail 2023</t>
  </si>
  <si>
    <t>https://nokia.sharepoint.com/sites/CGT39/Shared%20Documents/salari%C3%A9s/accords%20n%C3%A9goci%C3%A9s/captures_signatures/rh_Accord_amenagement_temps_travail_NPS_2023_p04_signature.jpg</t>
  </si>
  <si>
    <t>Pas d'accord majoritaire ; PV signé par la DRH et les DSC CFDT, CFE-CGC et CGT. (autre source, à vérifier)</t>
  </si>
  <si>
    <t>Compteur &gt; 900 jours. (autre source, à vérifier)</t>
  </si>
  <si>
    <t>Comité Groupe France (NNF, ASN, RFS).</t>
  </si>
  <si>
    <t>Dénoncé en 2025 (sortie d'ASN, fermeture de RFS). (autre source, à vérifier)</t>
  </si>
  <si>
    <t>Contestation des nombreux 0 % d'augmentation. (source : tract, à vérifier)</t>
  </si>
  <si>
    <t>autre source (email, teams, sharepoint)</t>
  </si>
  <si>
    <t>Summary</t>
  </si>
  <si>
    <t>https://nokia.sharepoint.com/sites/HRLibrary/Controlled%20Documents/HR%20Regions/Europe%20South/France/HR%20SOPs-Guidelines-Policy/Harmonized/Accords%20conventions%202026/Accord%20d'entreprise%20relatif%20%C3%A0%20la%20situation%20de%20handicap%20NNF.pdf</t>
  </si>
  <si>
    <t>https://nokia.sharepoint.com/sites/HRLibrary/Controlled%20Documents/HR%20Regions/Europe%20South/France/Archive/SOP%20-%20Guidelines%20-%20HARMONIZED/Accord%202025%20NPS%20-%20am%C3%A9nagement%20temps%20de%20travail%20(20%20janvier%202025).pdf</t>
  </si>
  <si>
    <t>https://nokia.sharepoint.com/sites/HRLibrary/Controlled%20Documents/HR%20Regions/Europe%20South/France/HR%20SOPs-Guidelines-Policy/Harmonized/Accords%20conventions%202024/PV%20d%C3%A9saccord%20Partage%20de%20la%20valeur%20VS.pdf</t>
  </si>
  <si>
    <t>https://nokia.sharepoint.com/sites/HRLibrary/Controlled%20Documents/HR%20Regions/Europe%20South/France/Archive/Archives/Accords%20Nokia/Accord%20harmonisation%20taux%20variable%20cible%20salari%C3%A9s%20non%20sales%20du%2019%20d%C3%A9cembre%202023.pdf</t>
  </si>
  <si>
    <t>https://nokia.sharepoint.com/sites/CGT39/Shared%20Documents/salari%C3%A9s/tracts%20diffus%C3%A9s/2024/tract_retour_salaires_2024_v1.pdf</t>
  </si>
  <si>
    <t>https://nokia.sharepoint.com/sites/HRLibrary/Controlled%20Documents/HR%20Regions/Europe%20South/France/HR%20SOPs-Guidelines-Policy/Harmonized/Accords%20conventions%202026/Avenant%20n%C2%BA%201%20%C3%A0%20l'Accord%20CSE%20du%2021%20septembre%202018.pdf</t>
  </si>
  <si>
    <t>https://nokia.sharepoint.com/sites/HRLibrary/Controlled%20Documents/HR%20Regions/Europe%20South/France/HR%20SOPs-Guidelines-Policy/Harmonized/Accords%20conventions%202026/NAO_2026_Proc%C3%A8s_verbal_d_accord_24%20janvier_2026.pdf</t>
  </si>
  <si>
    <t>https://nokia.sharepoint.com/sites/HRLibrary/Controlled%20Documents/HR%20Regions/Europe%20South/France/Plan-de-transformation/RCC%202025/Accord%20collectif%20portant%20sur%20une%20Rupture%20Conventionnelle%20Collective%20(RCC)%20au%20sein%20de%20Nokia%20Networks%20France%20(compress%C3%A9).pdf</t>
  </si>
  <si>
    <t>https://nokia.sharepoint.com/sites/HRLibrary/Controlled%20Documents/HR%20Regions/Europe%20South/France/HR%20SOPs-Guidelines-Policy/Harmonized/Accords%20conventions%202025/Accord%20d'entreprise%20relatif%20au%20Plan%20d'Epargne%20Entreprise%20au%20sein%20de%20Nokia%20Networks%20France%20(16%20d%C3%A9cembre%202025).pdf</t>
  </si>
  <si>
    <t>https://nokia.sharepoint.com/sites/HRLibrary/Controlled%20Documents/HR%20Regions/Europe%20South/France/HR%20SOPs-Guidelines-Policy/Harmonized/Accords%20conventions%202025/Accord%20d'entreprise%20relatif%20au%20Plan%20d'Epargne%20Retraite%20d'Entreprise%20Collectif%20PERCOL%20(16%20d%C3%A9cembre%202025).pdf</t>
  </si>
  <si>
    <t>https://nokia.sharepoint.com/sites/HRLibrary/Controlled%20Documents/HR%20Regions/Europe%20South/France/HR%20SOPs-Guidelines-Policy/Harmonized/Accords%20conventions%202025/Accord%20d'int%C3%A9ressement%202025-2028.pdf</t>
  </si>
  <si>
    <t>https://nokia.sharepoint.com/sites/HRLibrary/Controlled%20Documents/HR%20Regions/Europe%20South/France/HR%20SOPs-Guidelines-Policy/Harmonized/Accords%20conventions%202025/Avenant%20accord%20t%C3%A9l%C3%A9travail%20avril%202022.pdf</t>
  </si>
  <si>
    <t>195 suppressions de postes. Volontariat ouvert à tous les salariés du 01/09 au 30/09/2026.</t>
  </si>
  <si>
    <t>La restauration sort des ASC des CSE d'établissement et passe à la Direction ; budget ASC et commission restauration revus.</t>
  </si>
  <si>
    <t>Politique handicap NNF : rôles des acteurs (managers, santé au travail, service social, Mission handicap). Cotisations retraite prises en charge à 100 % en temps partiel choisi.</t>
  </si>
  <si>
    <t>Pas d'augmentation générale. Augmentations individuelles 2,15 % (promotions incluses) au 01/04/2026. Primes de transport : zone 1 9 €, zone 2 12 €, zone 3 60 €.</t>
  </si>
  <si>
    <t>Modifie l'article 2.5 « Réponse apportée au salarié » (départs volontaires), suite aux observations de l'inspection du travail.</t>
  </si>
  <si>
    <t>1 JRTT/JRS collectif le vendredi 15/05/2026 (pont de l'Ascension). Journée de solidarité le lundi de Pentecôte 25/05/2026.</t>
  </si>
  <si>
    <t>421 départs volontaires maximum. Candidatures jusqu'au 28/02/2026, départs d'avril à fin juin 2026. Congé de mobilité, congé de fin de carrière.</t>
  </si>
  <si>
    <t>PEE propre à NNF : sélection des fonds (ISR), abondement concentré sur l'actionnariat Nokia.</t>
  </si>
  <si>
    <t>PERCOL propre à NNF : gestion libre ou pilotée, abondement, transfert collectif des avoirs.</t>
  </si>
  <si>
    <t>Pas d'accord sur la GEPP.</t>
  </si>
  <si>
    <t>Ouverture après 6 mois de présence. Monétisation 1 fois par an (juin), 10 jours max. 5e semaine non monétisable.</t>
  </si>
  <si>
    <t>Enveloppe max = 4 % de la masse salariale selon CA (50 %), brevets/publications (25 %), mobilité durable (25 %). Répartition 50 % présence, 50 % salaire.</t>
  </si>
  <si>
    <t>Pas d'accord sur les salaires 2025.</t>
  </si>
  <si>
    <t>Aide à l'équipement de 300 € (note de frais, sous 6 mois). Indemnité de télétravail de 4 € à 4,40 €, sans indexation.</t>
  </si>
  <si>
    <t>Journée de solidarité le lundi de Pentecôte 09/06/2025 (7 h).</t>
  </si>
  <si>
    <t>Don de jours élargi aux aidants (enfant, conjoint, parent). Plafonds de 20 ou 10 jours ; commission paritaire pour les cas hors cadre.</t>
  </si>
  <si>
    <t>347 départs volontaires max. Congé de mobilité 1 à 24 mois (75 %), congé de fin de carrière (220 000 € max), indemnité complémentaire de 5 mois (min. 25 000 €), aide à la création 8 000 €.</t>
  </si>
  <si>
    <t>Mise en conformité avec la convention de la métallurgie : cadres → groupes F à I, non-cadres → groupes A à E.</t>
  </si>
  <si>
    <t>Pas d'accord sur les salaires 2024.</t>
  </si>
  <si>
    <t>Bonus cible aligné au 01/01/2024 sur le taux Nokia du Job Grade : JG5-6 5 %, JG7 7,5 %, JG8 10 %, JG9 12,5 %, JG10 15 %, JG11 20 %, JG12 25 %, JG13 30 %.</t>
  </si>
  <si>
    <t>1 JRTT/JRS collectif le 10/05/2024 (pont de l'Ascension). Solidarité le 20/05/2024. 1 jour payé en plus (CTG). Sorties anticipées de 2 h les 24 et 31/12.</t>
  </si>
  <si>
    <t>Substitution pour les non-cadres (groupes A à E) liée à la convention de la métallurgie.</t>
  </si>
  <si>
    <t>173 départs volontaires max. Congé de mobilité, parcours retraite, aides formation/création/mobilité. Pas de licenciement contraint.</t>
  </si>
  <si>
    <t>Pas d'accord. Enveloppe unilatérale : 3,21 % cadres, 5 % non-cadres.</t>
  </si>
  <si>
    <t>Référent égalité, objectif d'embauches de femmes, 80 % des managers formés, revue de l'ASR.</t>
  </si>
  <si>
    <t>Mutuelle santé : canton La Boétie, Malakoff Humanis, piloté par une commission paritaire.</t>
  </si>
  <si>
    <t>2 JRTT/JRS collectifs (19/05 et 17/07/2023). Solidarité le 29/05/2023. 1 jour payé en plus (CTG).</t>
  </si>
  <si>
    <t>file name accord</t>
  </si>
  <si>
    <t>file name tract</t>
  </si>
  <si>
    <t>tract associé</t>
  </si>
  <si>
    <t>URL tract</t>
  </si>
  <si>
    <t>URL accord</t>
  </si>
  <si>
    <t>N-ième RCC, 2ème de 2026 – Retour sondage salariés</t>
  </si>
  <si>
    <t>Pour ceux qui restent – La CGT n'accompagne pas l'euthanasie des télécoms en France</t>
  </si>
  <si>
    <t>Happy Thanksgiving chez Nokia – L'industrie française dindon de la farce</t>
  </si>
  <si>
    <t>Salaires +0,68 % – Les négos ça ne marche pas, il faut se mobiliser</t>
  </si>
  <si>
    <t>Avenant Télétravail : signer pour 40 centimes ? Chronique d'une occasion manquée</t>
  </si>
  <si>
    <t>Bilan de la RCC 2024 – Nokia a (encore) montré son vrai visage</t>
  </si>
  <si>
    <t>Et toi alors, t'es coté combien ?</t>
  </si>
  <si>
    <t>NAO -&gt; RCC -&gt; REPEAT – L'urgence de la radicalité</t>
  </si>
  <si>
    <t>Volontariat RCC : des motifs de vigilance</t>
  </si>
  <si>
    <t>Brèves de printemps</t>
  </si>
  <si>
    <t>Protocole préélectoral 2026 Lannion</t>
  </si>
  <si>
    <t>Protocole préélectoral 2026</t>
  </si>
  <si>
    <t>Avenant ARTT Lannion</t>
  </si>
  <si>
    <t>Avenant horaire variable Lannion</t>
  </si>
  <si>
    <t>Avenant frais de santé</t>
  </si>
  <si>
    <t>Prorogation des mandats CSE-E Lannion</t>
  </si>
  <si>
    <t>Mise en place de l'accord-cadre nouvelle CCN Lannion</t>
  </si>
  <si>
    <t>Mise en place de l'accord-cadre nouvelle CCN</t>
  </si>
  <si>
    <t>Nombre de délégués syndicaux NPS</t>
  </si>
  <si>
    <t>Nombre de délégués syndicaux Lannion</t>
  </si>
  <si>
    <t>https://nokia.sharepoint.com/sites/HRLibrary/Controlled%20Documents/HR%20Regions/Europe%20South/France/HR%20SOPs-Guidelines-Policy/Harmonized/Accords%20conventions%202026/2026%20protocole%20accord%20pr%C3%A9%C3%A9ctoral%20LANNION%20sign%C3%A9.pdf</t>
  </si>
  <si>
    <t>https://nokia.sharepoint.com/sites/HRLibrary/Controlled%20Documents/HR%20Regions/Europe%20South/France/HR%20SOPs-Guidelines-Policy/Harmonized/Accords%20conventions%202026/2026%20protocole%20accord%20pr%C3%A9%C3%A9lectoral%20sign%C3%A9.pdf</t>
  </si>
  <si>
    <t>https://nokia.sharepoint.com/sites/HRLibrary/Controlled%20Documents/HR%20Regions/Europe%20South/France/HR%20SOPs-Guidelines-Policy/Harmonized/Accords%20conventions%202024/Accord%20Etablissement%20NNF%20Lannion%20Mise%20en%20place%20accord%20cadre%20nouvelle%20CCN%20du%207%20mars%202024.pdf</t>
  </si>
  <si>
    <t>https://nokia.sharepoint.com/sites/HRLibrary/Controlled%20Documents/HR%20Regions/Europe%20South/France/HR%20SOPs-Guidelines-Policy/Harmonized/Accords%20conventions%202024/Accord%20collectif%20mise%20en%20place%20CCN.pdf</t>
  </si>
  <si>
    <t>https://nokia.sharepoint.com/sites/HRLibrary/Controlled%20Documents/HR%20Regions/Europe%20South/France/HR%20SOPs-Guidelines-Policy/Harmonized/Accords%20conventions%202023/Accord%20augmentation%20nombre%20d%C3%A9l%C3%A9gu%C3%A9s%20syndicaux%20NPS%202023.pdf</t>
  </si>
  <si>
    <t>https://nokia.sharepoint.com/sites/HRLibrary/Controlled%20Documents/HR%20Regions/Europe%20South/France/HR%20SOPs-Guidelines-Policy/Harmonized/Accords%20conventions%202025/Avenant%20Accord%20ARTT%20Lannion%2020%2003%202025.pdf</t>
  </si>
  <si>
    <t>https://nokia.sharepoint.com/sites/HRLibrary/Controlled%20Documents/HR%20Regions/Europe%20South/France/HR%20SOPs-Guidelines-Policy/Harmonized/Accords%20conventions%202025/Avenant%20Accord%20Horaire%20Variable%20Lannion%2020%2003%202025.pdf</t>
  </si>
  <si>
    <t>https://nokia.sharepoint.com/sites/HRLibrary/Controlled%20Documents/HR%20Regions/Europe%20South/France/HR%20SOPs-Guidelines-Policy/Harmonized/Accords%20conventions%202025/Avenant%20frais%20de%20sant%C3%A9%20(9%20avril%202025).pdf</t>
  </si>
  <si>
    <t>https://nokia.sharepoint.com/sites/HRLibrary/Controlled%20Documents/HR%20Regions/Europe%20South/France/HR%20SOPs-Guidelines-Policy/Harmonized/Accords%20conventions%202026/Accord%20Etablissement%20Prorogation%20des%20Mandats%20CSE-E%20Lannion.pdf</t>
  </si>
  <si>
    <t>https://nokia.sharepoint.com/sites/HRLibrary/Controlled%20Documents/HR%20Regions/Europe%20South/France/HR%20SOPs-Guidelines-Policy/Harmonized/Accords%20conventions%202023/Accord%20nombre%20d%C3%A9l%C3%A9gu%C3%A9s%20syndicaux%20Lannion%2024%20janvier%202023.pdf</t>
  </si>
  <si>
    <t>Élections CSE-E Lannion par vote électronique : 1er tour du 23 au 25/11/2026, 2nd tour du 02 au 04/12/2026. Collège 2 : 1 titulaire + 1 suppléant ; collège 3 : 11 + 11. Délégation 26 h/mois.</t>
  </si>
  <si>
    <t>Élections CSE-E Paris-Saclay par vote électronique : 1er tour du 23 au 25/11/2026, 2nd tour en décembre 2026. Effectifs de référence au 31/05/2026 (≈ 2 150).</t>
  </si>
  <si>
    <t>3 JRTT/JRS supplémentaires en 2025, alignement sur Paris-Saclay (jusqu'à 3 jours fixés chaque année en NAO). Congés familiaux supprimés ; prime de crèche fermée aux nouveaux entrants au 01/01/2026.</t>
  </si>
  <si>
    <t>Plages variables 7h30–9h30, 11h30–14h, 16h–19h (15h–19h le vendredi) ; plages fixes 9h30–11h30 et 14h–16h. Pause déjeuner 45 min obligatoire, crédit/débit limité à ±8 h.</t>
  </si>
  <si>
    <t>Cotisations santé réparties 60 % employeur / 40 % salarié (T1, T2 et forfait), avec effet rétroactif au 01/01/2025.</t>
  </si>
  <si>
    <t>Mandats CSE-E Lannion prolongés du 17/11/2026 au 06/12/2026 pour aligner les élections sur celles de Paris-Saclay.</t>
  </si>
  <si>
    <t>Mise en conformité avec la CCN métallurgie au 01/01/2024 : cadres → groupes F à I, mensuels → A à E. Met à jour l'accord horaire variable de 2001 et l'accord Lannion de 2008.</t>
  </si>
  <si>
    <t>Transposition de la CCN métallurgie (en vigueur au 01/01/2024) : cadres → groupes F à I, non-cadres → A à E. Mise à jour des accords CET, harmonisation ALUI, GEPP, temps partiel choisi et horaires atypiques.</t>
  </si>
  <si>
    <t>+2 délégués syndicaux par organisation représentative, soit jusqu'à 5 DS au lieu de 3, pour le cycle électoral 2022–2026.</t>
  </si>
  <si>
    <t>+1 délégué syndical par organisation représentative, soit 2 DS. Rétroactif au 17/11/2022, durée indéterminée.</t>
  </si>
  <si>
    <t>LAN</t>
  </si>
  <si>
    <t>https://nokia.sharepoint.com/:b:/r/sites/HRLibrary/Controlled%20Documents/HR%20Regions/Europe%20South/France/HR%20SOPs-Guidelines-Policy/Harmonized/Accords%20conventions%202023/Accord%20am%C3%A9nagement%20temps%20travail%20NPS%202023.pdf</t>
  </si>
  <si>
    <t>https://nokia.sharepoint.com/sites/CGT39/Shared%20Documents/salari%C3%A9s/accords%20n%C3%A9goci%C3%A9s/captures_signatures/rh_Accord_d_entreprise_relatif_a_la_situation_de_handicap_NNF_p15-16_signatures.jpg</t>
  </si>
  <si>
    <t>https://nokia.sharepoint.com/sites/CGT39/Shared%20Documents/salari%C3%A9s/accords%20n%C3%A9goci%C3%A9s/captures_signatures/rh_Accord_2025_NPS_amenagement_temps_de_travail_20_janvier_2025_p04_signature.jpg</t>
  </si>
  <si>
    <t>https://nokia.sharepoint.com/sites/CGT39/Shared%20Documents/salari%C3%A9s/accords%20n%C3%A9goci%C3%A9s/captures_signatures/rh_2026_protocole_accord_preectoral_LANNION_signe_p11_signature.jpg</t>
  </si>
  <si>
    <t>https://nokia.sharepoint.com/sites/CGT39/Shared%20Documents/salari%C3%A9s/accords%20n%C3%A9goci%C3%A9s/captures_signatures/rh_2026_protocole_accord_preelectoral_signe_p11_signature.jpg</t>
  </si>
  <si>
    <t>https://nokia.sharepoint.com/sites/CGT39/Shared%20Documents/salari%C3%A9s/accords%20n%C3%A9goci%C3%A9s/captures_signatures/rh_Avenant_Accord_ARTT_Lannion_20_03_2025_p08_signature.jpg</t>
  </si>
  <si>
    <t>https://nokia.sharepoint.com/sites/CGT39/Shared%20Documents/salari%C3%A9s/accords%20n%C3%A9goci%C3%A9s/captures_signatures/rh_Avenant_Accord_Horaire_Variable_Lannion_20_03_2025_p07_signature.jpg</t>
  </si>
  <si>
    <t>https://nokia.sharepoint.com/sites/CGT39/Shared%20Documents/salari%C3%A9s/accords%20n%C3%A9goci%C3%A9s/captures_signatures/rh_Avenant_frais_de_sante_9_avril_2025_p05-06_signatures.jpg</t>
  </si>
  <si>
    <t>https://nokia.sharepoint.com/sites/CGT39/Shared%20Documents/salari%C3%A9s/accords%20n%C3%A9goci%C3%A9s/captures_signatures/rh_Accord_Etablissement_Prorogation_des_Mandats_CSE_E_Lannion_p05_signature.jpg</t>
  </si>
  <si>
    <t>https://nokia.sharepoint.com/sites/CGT39/Shared%20Documents/salari%C3%A9s/accords%20n%C3%A9goci%C3%A9s/captures_signatures/rh_Accord_Etablissement_NNF_Lannion_Mise_en_place_accord_cadre_nouvelle_CCN_p06_signature.jpg</t>
  </si>
  <si>
    <t>https://nokia.sharepoint.com/sites/CGT39/Shared%20Documents/salari%C3%A9s/accords%20n%C3%A9goci%C3%A9s/captures_signatures/rh_Accord_collectif_mise_en_place_CCN_p06_signature.jpg</t>
  </si>
  <si>
    <t>https://nokia.sharepoint.com/sites/CGT39/Shared%20Documents/salari%C3%A9s/accords%20n%C3%A9goci%C3%A9s/captures_signatures/rh_Accord_augmentation_nombre_delegues_syndicaux_NPS_2023_p05_signature.jpg</t>
  </si>
  <si>
    <t>https://nokia.sharepoint.com/sites/CGT39/Shared%20Documents/salari%C3%A9s/accords%20n%C3%A9goci%C3%A9s/captures_signatures/rh_Accord_nombre_delegues_syndicaux_Lannion_24_janvier_2023_p04_signature.jpg</t>
  </si>
  <si>
    <t>p.11 : signatures de la Direction, de la CFDT, de la CFE-CGC et de la CGT.</t>
  </si>
  <si>
    <t>https://nokia.sharepoint.com/sites/CGT39/Shared%20Documents/salari%C3%A9s/accords%20n%C3%A9goci%C3%A9s/captures_signatures/rh_Accord_harmonisation_taux_variable_cible_salaries_non_sales_du_19_decemb_p10_signature.jpg</t>
  </si>
  <si>
    <t>p.54 : signatures de la CFDT et de la CFE-CGC ; aucune signature de la CGT.</t>
  </si>
  <si>
    <t>p.15–16 : signatures de la Direction (p.15), de la CFDT, de la CFE-CGC et de la CGT (p.16).</t>
  </si>
  <si>
    <t>p.5 : signatures de la Direction, de la CFDT, de la CFE-CGC et de la CGT.</t>
  </si>
  <si>
    <t>p.7 : signatures de la CFDT et de la CFE-CGC ; aucune signature de la CGT.</t>
  </si>
  <si>
    <t>p.3 : signatures de la Direction, de la CFDT, de la CFE-CGC, de la CGT et de la CFTC.</t>
  </si>
  <si>
    <t>p.52 : signatures de la CFDT et de la CFE-CGC ; aucune signature de la CGT. Confirmé par l'avenant et la décision DREETS (76,51 %).</t>
  </si>
  <si>
    <t>p.17–18 : signatures de la Direction (p.17), de la CFDT et de la CFE-CGC (p.18) ; aucune signature de la CGT.</t>
  </si>
  <si>
    <t>p.20–21 : signatures de la Direction (p.20), de la CFDT et de la CFE-CGC (p.21) ; aucune signature de la CGT.</t>
  </si>
  <si>
    <t>p.13–14 : signatures de la Direction (p.13), de la CFDT et de la CFE-CGC (p.14) ; aucune signature de la CGT.</t>
  </si>
  <si>
    <t>p.5–6 : signatures de la Direction, de la CFDT, de la CFE-CGC et de la CGT.</t>
  </si>
  <si>
    <t>p.8 : signatures de la Direction et de la CFDT ; aucune signature de la CFE-CGC ni de la CGT.</t>
  </si>
  <si>
    <t>p.7 : signatures de la Direction et de la CFDT ; aucune signature de la CFE-CGC ni de la CGT.</t>
  </si>
  <si>
    <t>p.4 : signatures de la Direction, de la CFDT, de la CFE-CGC, de la CGT et de la CFTC.</t>
  </si>
  <si>
    <t>p.6 : signatures de la Direction, de la CFDT, de la CFE-CGC et de la CGT.</t>
  </si>
  <si>
    <t>p.6 : signatures de la CFDT, de la CFE-CGC, de la CGT et de la CFTC.</t>
  </si>
  <si>
    <t>p.4 : signatures de la CFDT, de la CFE-CGC, de la CGT et de la CFTC.</t>
  </si>
  <si>
    <t>p.49 : signatures de la Direction, de la CFDT et de la CGT ; aucune signature de la CFE-CGC.</t>
  </si>
  <si>
    <t>p.20 : signatures de la CFDT et de la CFE-CGC ; aucune signature de la CGT.</t>
  </si>
  <si>
    <t>p.4 : signatures de la Direction, de la CFDT, de la CFE-CGC et de la CGT.</t>
  </si>
  <si>
    <t>p.5 : signatures de la Direction, de la CFDT, de la CFE-CGC, de la CFTC et de la CGT.</t>
  </si>
  <si>
    <t>https://nokia.sharepoint.com/sites/CGT39/Shared%20Documents/salari%C3%A9s/accords%20n%C3%A9goci%C3%A9s/captures_signatures/cgt_GEPP_PV_de_desaccord_mis_a_signature_p12_signature.jpg</t>
  </si>
  <si>
    <t>https://nokia.sharepoint.com/sites/CGT39/Shared%20Documents/salari%C3%A9s/accords%20n%C3%A9goci%C3%A9s/captures_signatures/rh_Proces_verbal_NAO_desaccord_2025_27_mars_2025_p11_signature.jpg</t>
  </si>
  <si>
    <t>https://nokia.sharepoint.com/sites/CGT39/Shared%20Documents/salari%C3%A9s/accords%20n%C3%A9goci%C3%A9s/captures_signatures/rh_PV_desaccord_Partage_de_la_valeur_VS_p06_signature.jpg</t>
  </si>
  <si>
    <t>https://nokia.sharepoint.com/sites/CGT39/Shared%20Documents/salari%C3%A9s/accords%20n%C3%A9goci%C3%A9s/captures_signatures/rh_Avenant_Proces_verbal_de_desaccord_NAO_2024_9_avril_2024_p05_signature.jpg</t>
  </si>
  <si>
    <t>https://nokia.sharepoint.com/sites/CGT39/Shared%20Documents/salari%C3%A9s/accords%20n%C3%A9goci%C3%A9s/captures_signatures/rh_NAO_2023_PV_desaccord_p10_signature.jpg</t>
  </si>
  <si>
    <t>Vote AG extra 04/12/2025 : 0 pour / 17 contre / 4 abst. (21 votants) (autre source)</t>
  </si>
  <si>
    <t>Vote AG extra 04/12/2025 : 0 pour / 15 contre / 6 abst. (21 votants) (autre source)</t>
  </si>
  <si>
    <t>Vote AG extra 24/03/2025 : signature décidée, 24 votants dont 3 procurations (autre source)</t>
  </si>
  <si>
    <t>Abondement concentré sur les actions Nokia, rémunération « TTC », exonérations de cotisations ; préférence pour un 13e mois cotisé.</t>
  </si>
  <si>
    <t>Retraite par capitalisation contre la répartition, perte de cotisations sociales ; préférence pour un 13e mois cotisé.</t>
  </si>
  <si>
    <t>Pas d'engagement d'embauche ni de remplacement des départs, garanties insuffisantes sur les activités en France.</t>
  </si>
  <si>
    <t>Soutien à l'élargissement, demande d'un seuil préservant les congés des aidants.</t>
  </si>
  <si>
    <t>Maintenir une instance d'examen des résultats des sociétés françaises du groupe.</t>
  </si>
  <si>
    <t>Confirmé par le bilan annuel.</t>
  </si>
  <si>
    <t>Mesures insuffisantes et trop individualisées. Demande intersyndicale des statistiques réelles d'application.</t>
  </si>
  <si>
    <t>Signature unanime.</t>
  </si>
  <si>
    <t>Accord signé par toutes les OS représentatives.</t>
  </si>
  <si>
    <t>Accord signé par toutes les OS : augmentation du nombre de DS par OS sur NPS (5 DS pour la CGT).</t>
  </si>
  <si>
    <t>Régime AUXAD : contrepartie obtenue, prise en charge de la mutuelle à 60 % par l'employeur (contre 50 %) et +1 % de masse salariale dans la formule d'intéressement.</t>
  </si>
  <si>
    <t>Accord RCC initial non signé non plus. RCC signée le 19/12/2025 par la CFDT et la CFE-CGC ; avenant signé le 15/01/2026 ; nouvelle demande de validation à l'administration le 21/01/2026.</t>
  </si>
  <si>
    <t>Débat interne : le DSC voulait d'abord ne pas signer pour « faire front » avec les autres OS ; signature finalement décidée, le gain pour les salariés étant jugé « énorme ».</t>
  </si>
  <si>
    <t>Nouvelle réduction d'effectifs : 231 suppressions de postes en 2024. (autre source, non retrouvé dans le PDF qui indique 347 maximum) Signé par toutes les OS, y compris la CFTC.</t>
  </si>
  <si>
    <t>Version présentée comme finale le 29/11/2023 ; AG CGT le 01/12/2023 avec vote consolidé NPS + Lannion.</t>
  </si>
  <si>
    <t>Version finale transmise le 03/07/2023, mise à la signature le 04/07/2023 à Massy ; jusqu'à 173 départs volontaires.</t>
  </si>
  <si>
    <t>accord majoritaire</t>
  </si>
  <si>
    <t>CFTC</t>
  </si>
  <si>
    <t>Décision unilatérale : prime négociée seulement si bénéfice net fiscal &gt; 15 % du CA France.</t>
  </si>
  <si>
    <t>Unité syndicale initiale contre ce « chantage », puis signature isolée de la CFDT majoritaire.</t>
  </si>
  <si>
    <t>Aucune solution pour les salariés aux compteurs d'heures positifs (remise à zéro = heures non payées, non cotisées).</t>
  </si>
  <si>
    <t>La CGT menace d'aller en justice ; la Direction propose ensuite un compromis acceptable pour ces salariés.</t>
  </si>
  <si>
    <t>Vote CGT commun NNF (accord-cadre nouvelle CCN) : 21 votants, 13 pour, 2 contre, 6 abstentions (dont Lannion : 8 pour, 0 contre, 2 abstentions). Tracts : « Et toi alors, t'es coté combien ? », « Mais pourquoi tant de (M)N ? », « MN : des couleuvres ou des spaghettis ».</t>
  </si>
  <si>
    <t>Vote CGT commun NNF (accord-cadre nouvelle CCN) : 21 votants, 13 pour, 2 contre, 6 abstentions (dont NPS : 5 pour, 2 contre, 4 abstentions). Tracts : « Et toi alors, t'es coté combien ? », « Mais pourquoi tant de (M)N ? », « MN : des couleuvres ou des spaghettis ».</t>
  </si>
  <si>
    <t>Vote CGT commun NNF (accord-cadre nouvelle CCN) : 21 votants, 13 pour, 2 contre, 6 abstentions (NPS 5/2/4, Lannion 8/0/2). Tracts : « Et toi alors, t'es coté combien ? », « Mais pourquoi tant de (M)N ? », « MN : des couleuvres ou des spaghettis ».</t>
  </si>
  <si>
    <t>L'avocat du CSE-C a obtenu ce que la Direction proposait en échange d'une signature ; fin d'une injustice pour ~400 salariés sous le taux nominal de leur grade.</t>
  </si>
  <si>
    <t>Signature unanime des OS. Source : communication intersyndicale.</t>
  </si>
  <si>
    <t>Signé le 12/04/2023 par la CFDT et la CFE-CGC seulement. Vote dans les 2 syndicats (Lannion et IDF).</t>
  </si>
  <si>
    <t>Débat/vote en AG extra le 15/07/2026. Slogan du tract : « RCC 2026, c'est toujours non ».</t>
  </si>
  <si>
    <t>La Direction (M. Cudot) refuse toute modification du texte et exige une réponse avant le 10/07/2026 12h. Signature électronique de toutes les OS le 13/07/2026 (2e procédure, les pages n'ayant pas été paraphées au 1er essai). Risque relevé en interne qu'un échange de mails remplace une vraie négociation.</t>
  </si>
  <si>
    <t>Vote en AG extraordinaire du 21/05/2026. La CFE-CGC signe après le vote de ses adhérents mais juge l'accord « nettement insuffisant » (« handiwashing ») ; sa signature plus celle d'une autre OS permet l'application de l'accord. Méthode jugée déloyale (bilatérales « en coulisses »), relations tendues.</t>
  </si>
  <si>
    <t>Confirmation par courriel. Signature CGT annoncée le 26/01/2026 après débat/vote des syndiqués ; R1 le 19/01, réunion finale le 23/01/2026. Négociation accélérée en 7 jours, peu de lecture des statistiques ; « chantage à la signature » évoqué en débat.</t>
  </si>
  <si>
    <t>Accord signé le 19/12/2025 par la CFDT (adhérents majoritairement pour) et la CFE-CGC, sans la CGT. AG extra le 17/11/2025, débat/vote le 18/12/2025. Slogan : « le bon chiffre c'est zéro ».</t>
  </si>
  <si>
    <t>Débat/vote en AG extra fin juin 2025. Négociation précipitée : dernier round supprimé, pas de texte final avant le vote.</t>
  </si>
  <si>
    <t>Enveloppe d'environ 2 % (0,68 % après inflation). Signature CFDT isolée, non majoritaire. (autre source, à vérifier) Action : blocage des calendriers (~600 salariés).</t>
  </si>
  <si>
    <t>Vote AG extra 11-12/02/2025 : 14 pour / 14 contre / 2 abst. (NPS 8/7/1, Lannion 6/7/1) ; égalité = contre (autre source) Accord initial signé par la CFTC et la CFDT ; la CFTC n'étant plus représentative, la Direction avait besoin de la signature CFE-CGC ou CGT (« chantage affectif »). Rapport de force jugé suffisant pour obtenir plus.</t>
  </si>
  <si>
    <t>Une seule réunion de négociation (31/05/2024). La CFE-CGC refuse d'abord de signer le PV (ses positions n'y sont pas reprises) ; la Direction ajoute ses revendications le 31/07/2024. La CGT maintient son refus de signer le PV. PV de désaccord à durée déterminée : nouvelle négociation possible après un an. Négociation jugée déloyale : la Direction voulait « cocher la case ».</t>
  </si>
  <si>
    <t>Mobilisation intersyndicale CFDT / CFE-CGC / CGT en mars 2024. (source : tract, à vérifier) Actions : communiqué de presse, lettre à l'inspection du travail sur la loyauté des négociations, déconnexion à 16h / calendriers.</t>
  </si>
  <si>
    <t>Modalités électorales (vote électronique, calendrier, collèges, nombre de sièges, répartition H/F) négociées en commun avec Paris-Saclay et jugées conformes.</t>
  </si>
  <si>
    <t>Modalités électorales (vote électronique, calendrier, collèges, nombre de sièges, répartition H/F, effectifs de référence) jugées conformes.</t>
  </si>
  <si>
    <t>Contenu : la restauration sort des ASC des CSE-E et passe en gestion Direction (budget ASC modifié, commission restauration redéfinie). Avis favorable de toutes les OS sur le projet.</t>
  </si>
  <si>
    <t>Contre : pas de budget spécifique ni d'heures de délégation pour les référents ; mission handicap réduite à 1 personne nommée par la Direction ; élus non associés aux décisions (commission paritaire supprimée, simple bilan annuel) ; maintien dans l'emploi en recul par rapport à 2021 ; jours d'absence sur demande avec justificatif. Demandes CGT non retenues : rôle formalisé de la CSSCT, secrétaire CSSCT dans la mission handicap, lien AGEFIPH, mesures contre le plafond de verre (bac+2/3). Pour : sans accord, seulement le minimum légal (ni aide de 200 €, ni jours de congé) ; CSSCT associée aux études de poste ; TPC prolongeable au-delà de 5 ans avec retraite et prévoyance à 100 %.</t>
  </si>
  <si>
    <t>Prorogation technique des mandats CSE-E Lannion (17/11 → 06/12/2026) pour aligner les élections sur celles de Paris-Saclay ; aucun enjeu de fond défavorable.</t>
  </si>
  <si>
    <t>Pour : enveloppe portée de 1,85 % à 2,15 % (+0,30 point) conditionnée à la signature, avec hausse des primes de transport (vélo 400 → 500 €, indemnité kilométrique) et des primes d'intervention (forfait 265 € au lieu de 250 €) ; mobilisation jugée difficile. Contre : aucune augmentation générale ; revendications CGT refusées (rattrapage de 5 % depuis 2021 + 4 %) ; individualisation ; les femmes restent moins augmentées, écart plus fort à Lannion.</t>
  </si>
  <si>
    <t>Avenant de procédure (article 2.5, suite aux observations de l'inspection du travail) à une RCC que la CGT n'a pas signée.</t>
  </si>
  <si>
    <t>Fixation des ponts : 1 JRTT/JRS collectif le 15/05/2026 et journée de solidarité le 25/05/2026 ; accord technique sans recul.</t>
  </si>
  <si>
    <t>Pour : souplesse pour les salariés, jour supplémentaire à Lannion. Contre : monétisation des congés (repos transformé en argent), 5e semaine exclue mais logique banalisée.</t>
  </si>
  <si>
    <t>Mêmes bases que l'accord précédent, qui a donné de bons niveaux d'intéressement ; part de la masse salariale dans la formule portée de 3 % à 4 %, en contrepartie de la signature AUXAD.</t>
  </si>
  <si>
    <t>Perte d'environ 4 % de pouvoir d'achat depuis 2021 ; enveloppe d'environ 2 % (0,68 % après inflation), trop d'individuel, pas de mesure générale.</t>
  </si>
  <si>
    <t>Pour : 1 jour de repos supplémentaire pour tous, aligné sur Paris-Saclay. Contre : prime de crèche (80 €/mois jusqu'aux 4 ans de l'enfant) fermée aux nouveaux entrants au 01/01/2026, congés familiaux supprimés ; risque de préparer un établissement unique NPS + Lannion.</t>
  </si>
  <si>
    <t>Pour : indemnité +10 % (4 € → 4,40 €), maintien de l'accord, aide à l'équipement de 300 € plus favorable que le dispositif corporate. Contre : pas d'indexation, aide non renouvelable, hausse financée par les sommes non utilisées ; accord initial non signé par la CGT.</t>
  </si>
  <si>
    <t>Fixation des ponts et de la journée de solidarité 2025 ; accord technique sans recul.</t>
  </si>
  <si>
    <t>Versement conditionné à un bénéfice net fiscal &gt; 15 % du CA, inatteignable vu le déficit comptable de NNF (héritage Alcatel-Lucent, R&amp;D sous-facturée à la maison mère) : aucune prime possible en pratique. Revendication : du salaire fixe plutôt que des primes.</t>
  </si>
  <si>
    <t>Augmentations bien inférieures à l'inflation, d'où une baisse des salaires réels ; pas de mesure générale ; NAO suivie d'une RCC (357 suppressions, dont 1/3 en R&amp;D).</t>
  </si>
  <si>
    <t>Contre : nouvelle classification, fiches emplois et cotation des postes ; fin de la reconnaissance des diplômes et de l'expérience, salaire lié au poste, perte possible du statut cadre. Pour : CCN imposée par la branche, l'accord-cadre en encadre la mise en place dans l'entreprise.</t>
  </si>
  <si>
    <t>Fixation des ponts et de la journée de solidarité 2024 ; accord technique sans recul.</t>
  </si>
  <si>
    <t>Correction demandée par la CGT obtenue (« salaire fixe » au lieu de « salaire de base »).</t>
  </si>
  <si>
    <t>Pour : volontariat, mesures individuelles correctes, éviter un PSE à moyen terme. Points d'alerte : pressions au volontariat, affaiblissement des équipes, absence de garanties sur les activités en France, lien RCC / absence d'augmentation.</t>
  </si>
  <si>
    <t>Pour : quelques actions (formation des managers, candidature féminine recherchée pour les postes de management). Contre : pas d'enveloppe budgétaire spécifique, aucune amélioration proposée par la CGT retenue.</t>
  </si>
  <si>
    <t>Fixation des ponts et de la journée de solidarité 2023 ; accord technique sans recul.</t>
  </si>
  <si>
    <t>Augmentation des moyens syndicaux (nombre de DS par OS à Lannion).</t>
  </si>
  <si>
    <t>Augmentation des moyens syndicaux (5 DS pour la CGT sur NPS).</t>
  </si>
  <si>
    <t>Accord sur le régime de remboursement des frais de santé, sans recul identifié.</t>
  </si>
  <si>
    <t>RCC devenue un outil récurrent (2e de 2026) ; suppressions de postes sans embauche ni garantie d'emploi (la CGT demandait une garantie jusqu'au 31/12/2027) ; volontariat élargi à tous les salariés, d'où une pression sur les non-volontaires ; OS exclues de la commission de validation ; ni stratégie industrielle ni pérennité des sites traitées.</t>
  </si>
  <si>
    <t>Pour : mesures individuelles de départ jugées correctes et alternative à un PSE. Contre (bilan a posteriori) : délocalisations, perte de savoir-faire, charge de travail, RPS, externalisations.</t>
  </si>
  <si>
    <t>Jusqu'à 421 suppressions de postes non justifiées par la charge de travail ; RCC à répétition ; ni garantie d'emploi ni embauche ; externalisations et perte de compétences ; critères de substitution ; pression au volontariat.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</si>
</sst>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49" fontId="6" fillId="0" borderId="1" xfId="1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2" fillId="0" borderId="1" xfId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22"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FFFF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D8A8"/>
        </patternFill>
      </fill>
    </dxf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FF00"/>
        </patternFill>
      </fill>
    </dxf>
    <dxf>
      <font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nokia.sharepoint.com/:b:/r/sites/HRLibrary/Controlled%20Documents/HR%20Regions/Europe%20South/France/HR%20SOPs-Guidelines-Policy/Harmonized/Accords%20conventions%202024/Accord%20Etablissement%20NNF%20Lannion%20Mise%20en%20place%20accord%20cadre%20nouvelle%20CCN%20du%207%20mars%202024.pdf" TargetMode="External"/><Relationship Id="rId13" Type="http://schemas.openxmlformats.org/officeDocument/2006/relationships/hyperlink" Target="../../salari%C3%A9s/accords%20n%C3%A9goci%C3%A9s/captures_signatures/rh_Avenant_Accord_ARTT_Lannion_20_03_2025_p08_signature.jpg" TargetMode="External"/><Relationship Id="rId3" Type="http://schemas.openxmlformats.org/officeDocument/2006/relationships/hyperlink" Target="https://nokia.sharepoint.com/:b:/r/sites/HRLibrary/Controlled%20Documents/HR%20Regions/Europe%20South/France/HR%20SOPs-Guidelines-Policy/Harmonized/Accords%20conventions%202025/Avenant%20Accord%20ARTT%20Lannion%2020%2003%202025.pdf?d=w41b9a9b002484645baa30299d81f4cd9&amp;csf=1&amp;web=1&amp;e=CBBk7K" TargetMode="External"/><Relationship Id="rId7" Type="http://schemas.openxmlformats.org/officeDocument/2006/relationships/hyperlink" Target="https://nokia.sharepoint.com/:b:/r/sites/HRLibrary/Controlled%20Documents/HR%20Regions/Europe%20South/France/HR%20SOPs-Guidelines-Policy/Harmonized/Accords%20conventions%202024/Accord%20collectif%20mise%20en%20place%20CCN.pdf" TargetMode="External"/><Relationship Id="rId12" Type="http://schemas.openxmlformats.org/officeDocument/2006/relationships/hyperlink" Target="../../../../HRLibrary/Controlled%20Documents/HR%20Regions/Europe%20South/France/Archive/SOP%20-%20Guidelines%20-%20HARMONIZED/Accord%202025%20NPS%20-%20am%C3%A9nagement%20temps%20de%20travail%20(20%20janvier%202025).pdf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nokia.sharepoint.com/:b:/r/sites/HRLibrary/Controlled%20Documents/HR%20Regions/Europe%20South/France/HR%20SOPs-Guidelines-Policy/Harmonized/Accords%20conventions%202026/2026%20protocole%20accord%20pr%C3%A9%C3%A9lectoral%20sign%C3%A9.pdf" TargetMode="External"/><Relationship Id="rId16" Type="http://schemas.openxmlformats.org/officeDocument/2006/relationships/hyperlink" Target="../../salari%C3%A9s/accords%20n%C3%A9goci%C3%A9s/captures_signatures/cgt_GEPP_PV_de_desaccord_mis_a_signature_p12_signature.jpg" TargetMode="External"/><Relationship Id="rId1" Type="http://schemas.openxmlformats.org/officeDocument/2006/relationships/hyperlink" Target="https://nokia.sharepoint.com/:b:/r/sites/HRLibrary/Controlled%20Documents/HR%20Regions/Europe%20South/France/HR%20SOPs-Guidelines-Policy/Harmonized/Accords%20conventions%202026/2026%20protocole%20accord%20pr%C3%A9%C3%A9ctoral%20LANNION%20sign%C3%A9.pdf" TargetMode="External"/><Relationship Id="rId6" Type="http://schemas.openxmlformats.org/officeDocument/2006/relationships/hyperlink" Target="https://nokia.sharepoint.com/:b:/r/sites/HRLibrary/Controlled%20Documents/HR%20Regions/Europe%20South/France/HR%20SOPs-Guidelines-Policy/Harmonized/Accords%20conventions%202026/Accord%20Etablissement%20Prorogation%20des%20Mandats%20CSE-E%20Lannion.pdf?d=w43ddbf8e1efb416daa39a1aba4d23da2&amp;csf=1&amp;web=1&amp;e=Awv1cc" TargetMode="External"/><Relationship Id="rId11" Type="http://schemas.openxmlformats.org/officeDocument/2006/relationships/hyperlink" Target="https://nokia.sharepoint.com/:b:/r/sites/HRLibrary/Controlled%20Documents/HR%20Regions/Europe%20South/France/HR%20SOPs-Guidelines-Policy/Harmonized/Accords%20conventions%202023/Accord%20am%C3%A9nagement%20temps%20travail%20NPS%202023.pdf" TargetMode="External"/><Relationship Id="rId5" Type="http://schemas.openxmlformats.org/officeDocument/2006/relationships/hyperlink" Target="https://nokia.sharepoint.com/:b:/r/sites/HRLibrary/Controlled%20Documents/HR%20Regions/Europe%20South/France/HR%20SOPs-Guidelines-Policy/Harmonized/Accords%20conventions%202025/Avenant%20frais%20de%20sant%C3%A9%20(9%20avril%202025).pdf?d=w3ab9353536cb49678646454b636bb215&amp;csf=1&amp;web=1&amp;e=HFDFvw" TargetMode="External"/><Relationship Id="rId15" Type="http://schemas.openxmlformats.org/officeDocument/2006/relationships/hyperlink" Target="../../../../HRLibrary/Controlled%20Documents/HR%20Regions/Europe%20South/France/HR%20SOPs-Guidelines-Policy/Harmonized/Accords%20conventions%202024/PV%20d%C3%A9saccord%20Partage%20de%20la%20valeur%20VS.pdf" TargetMode="External"/><Relationship Id="rId10" Type="http://schemas.openxmlformats.org/officeDocument/2006/relationships/hyperlink" Target="https://nokia.sharepoint.com/:b:/r/sites/HRLibrary/Controlled%20Documents/HR%20Regions/Europe%20South/France/HR%20SOPs-Guidelines-Policy/Harmonized/Accords%20conventions%202023/Accord%20nombre%20d%C3%A9l%C3%A9gu%C3%A9s%20syndicaux%20Lannion%2024%20janvier%202023.pdf?d=w7f99dd8365c6418eb22acb63a8ac44b2&amp;csf=1&amp;web=1&amp;e=nOfza5" TargetMode="External"/><Relationship Id="rId4" Type="http://schemas.openxmlformats.org/officeDocument/2006/relationships/hyperlink" Target="https://nokia.sharepoint.com/:b:/r/sites/HRLibrary/Controlled%20Documents/HR%20Regions/Europe%20South/France/HR%20SOPs-Guidelines-Policy/Harmonized/Accords%20conventions%202025/Avenant%20Accord%20Horaire%20Variable%20Lannion%2020%2003%202025.pdf?d=w0708203cc5384f55a34496c60e3be8c7&amp;csf=1&amp;web=1&amp;e=HcRWx3" TargetMode="External"/><Relationship Id="rId9" Type="http://schemas.openxmlformats.org/officeDocument/2006/relationships/hyperlink" Target="https://nokia.sharepoint.com/:b:/r/sites/HRLibrary/Controlled%20Documents/HR%20Regions/Europe%20South/France/HR%20SOPs-Guidelines-Policy/Harmonized/Accords%20conventions%202023/Accord%20augmentation%20nombre%20d%C3%A9l%C3%A9gu%C3%A9s%20syndicaux%20NPS%202023.pdf" TargetMode="External"/><Relationship Id="rId14" Type="http://schemas.openxmlformats.org/officeDocument/2006/relationships/hyperlink" Target="../../salari%C3%A9s/accords%20n%C3%A9goci%C3%A9s/captures_signatures/rh_Avenant_Accord_Horaire_Variable_Lannion_20_03_2025_p07_signature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tabSelected="1" topLeftCell="M29" zoomScaleNormal="100" workbookViewId="0">
      <selection activeCell="P32" sqref="P32"/>
    </sheetView>
  </sheetViews>
  <sheetFormatPr defaultColWidth="12.140625" defaultRowHeight="15" customHeight="1" x14ac:dyDescent="0.25"/>
  <cols>
    <col min="1" max="1" width="8.28515625" style="19" customWidth="1"/>
    <col min="2" max="2" width="7.5703125" style="19" customWidth="1"/>
    <col min="3" max="3" width="41.28515625" style="19" bestFit="1" customWidth="1"/>
    <col min="4" max="4" width="37.5703125" style="2" customWidth="1"/>
    <col min="5" max="5" width="42.42578125" style="19" customWidth="1"/>
    <col min="6" max="6" width="14.28515625" style="19" customWidth="1"/>
    <col min="7" max="7" width="15.28515625" style="19" customWidth="1"/>
    <col min="8" max="10" width="9.28515625" style="19" bestFit="1" customWidth="1"/>
    <col min="11" max="11" width="9.28515625" style="19" customWidth="1"/>
    <col min="12" max="12" width="26.42578125" style="20" customWidth="1"/>
    <col min="13" max="13" width="49.5703125" style="19" customWidth="1"/>
    <col min="14" max="16" width="57.140625" style="19" customWidth="1"/>
    <col min="17" max="17" width="36.28515625" style="19" customWidth="1"/>
    <col min="18" max="18" width="36.85546875" style="20" customWidth="1"/>
    <col min="19" max="19" width="32.28515625" style="19" customWidth="1"/>
    <col min="20" max="16384" width="12.140625" style="19"/>
  </cols>
  <sheetData>
    <row r="1" spans="1:19" ht="30" x14ac:dyDescent="0.25">
      <c r="A1" s="3" t="s">
        <v>9</v>
      </c>
      <c r="B1" s="4" t="s">
        <v>12</v>
      </c>
      <c r="C1" s="5" t="s">
        <v>0</v>
      </c>
      <c r="D1" s="6" t="s">
        <v>147</v>
      </c>
      <c r="E1" s="7" t="s">
        <v>143</v>
      </c>
      <c r="F1" s="8" t="s">
        <v>10</v>
      </c>
      <c r="G1" s="8" t="s">
        <v>248</v>
      </c>
      <c r="H1" s="4" t="s">
        <v>1</v>
      </c>
      <c r="I1" s="4" t="s">
        <v>2</v>
      </c>
      <c r="J1" s="4" t="s">
        <v>3</v>
      </c>
      <c r="K1" s="4" t="s">
        <v>249</v>
      </c>
      <c r="L1" s="9" t="s">
        <v>55</v>
      </c>
      <c r="M1" s="8" t="s">
        <v>28</v>
      </c>
      <c r="N1" s="8" t="s">
        <v>103</v>
      </c>
      <c r="O1" s="8" t="s">
        <v>102</v>
      </c>
      <c r="P1" s="8" t="s">
        <v>11</v>
      </c>
      <c r="Q1" s="8" t="s">
        <v>145</v>
      </c>
      <c r="R1" s="9" t="s">
        <v>146</v>
      </c>
      <c r="S1" s="7" t="s">
        <v>144</v>
      </c>
    </row>
    <row r="2" spans="1:19" ht="90" x14ac:dyDescent="0.25">
      <c r="A2" s="10">
        <v>2026</v>
      </c>
      <c r="B2" s="10" t="s">
        <v>13</v>
      </c>
      <c r="C2" s="10" t="s">
        <v>27</v>
      </c>
      <c r="D2" s="21" t="s">
        <v>40</v>
      </c>
      <c r="E2" s="11" t="str" cm="1">
        <f t="array" ref="E2">_xlfn.LET(_xlpm.n,IFERROR(_xlfn.TEXTAFTER(D2,"/",-1),""),_xlpm.c,{"%20","%27","%28","%29","%2C","%C3%A9","%C3%A8","%C3%AA","%C3%A0","%C3%A2","%C3%A7","%C3%B4","%C3%AE","%C3%B9","%C3%BB","%C3%89","%C2%BA","%C2%B0"},_xlpm.r,{"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Accord_RCC_2026.pdf</v>
      </c>
      <c r="F2" s="12">
        <v>46219</v>
      </c>
      <c r="G2" s="13" t="b">
        <f>IF(ISNUMBER(SEARCH("PV de désaccord",C2)),TRUE,IF(AND(B2="LAN",I2=TRUE),TRUE,IF(AND(B2="NPS",I2=TRUE,K2=TRUE),TRUE,_xlfn.LET(_xlpm.ok,COUNTIF(H2:J2,TRUE),_xlpm.av,COUNTIF(H2:J2,"À vérifier"),IF(_xlpm.ok&gt;=2,TRUE,IF(_xlpm.ok+_xlpm.av&gt;=2,"À vérifier",FALSE))))))</f>
        <v>1</v>
      </c>
      <c r="H2" s="13" t="b">
        <v>0</v>
      </c>
      <c r="I2" s="13" t="b">
        <v>1</v>
      </c>
      <c r="J2" s="13" t="b">
        <v>1</v>
      </c>
      <c r="K2" s="13" t="str">
        <f>IF(OR(B2="NNF",B2="LAN"),"-",ISNUMBER(SEARCH("de la CFTC",M2)))</f>
        <v>-</v>
      </c>
      <c r="L2" s="21" t="s">
        <v>69</v>
      </c>
      <c r="M2" s="12" t="s">
        <v>204</v>
      </c>
      <c r="N2" s="14" t="s">
        <v>116</v>
      </c>
      <c r="O2" s="14" t="s">
        <v>260</v>
      </c>
      <c r="P2" s="14" t="s">
        <v>295</v>
      </c>
      <c r="Q2" s="17" t="s">
        <v>148</v>
      </c>
      <c r="R2" s="21" t="s">
        <v>46</v>
      </c>
      <c r="S2" s="11" t="str" cm="1">
        <f t="array" ref="S2">_xlfn.LET(_xlpm.n,IFERROR(_xlfn.TEXTAFTER(R2,"/",-1),""),_xlpm.c,{"%20","%27","%28","%29","%2C","%C3%A9","%C3%A8","%C3%AA","%C3%A0","%C3%A2","%C3%A7","%C3%B4","%C3%AE","%C3%B9","%C3%BB","%C3%89","%C2%BA","%C2%B0"},_xlpm.r,{"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2026_06_TRACT-RetourSondageRCC2026-2.pdf</v>
      </c>
    </row>
    <row r="3" spans="1:19" ht="60" x14ac:dyDescent="0.25">
      <c r="A3" s="10">
        <v>2026</v>
      </c>
      <c r="B3" s="10" t="s">
        <v>188</v>
      </c>
      <c r="C3" s="10" t="s">
        <v>158</v>
      </c>
      <c r="D3" s="21" t="s">
        <v>168</v>
      </c>
      <c r="E3" s="11" t="str" cm="1">
        <f t="array" ref="E3">_xlfn.LET(_xlpm.n,IFERROR(_xlfn.TEXTAFTER(D3,"/",-1),""),_xlpm.c,{"%20","%27","%28","%29","%2C","%C3%A9","%C3%A8","%C3%AA","%C3%A0","%C3%A2","%C3%A7","%C3%B4","%C3%AE","%C3%B9","%C3%BB","%C3%89","%C2%BA","%C2%B0"},_xlpm.r,{"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2026 protocole accord prééctoral LANNION signé.pdf</v>
      </c>
      <c r="F3" s="12">
        <f>DATE(2026,7,15)</f>
        <v>46218</v>
      </c>
      <c r="G3" s="13" t="b">
        <f>IF(ISNUMBER(SEARCH("PV de désaccord",C3)),TRUE,IF(AND(B3="LAN",I3=TRUE),TRUE,IF(AND(B3="NPS",I3=TRUE,K3=TRUE),TRUE,_xlfn.LET(_xlpm.ok,COUNTIF(H3:J3,TRUE),_xlpm.av,COUNTIF(H3:J3,"À vérifier"),IF(_xlpm.ok&gt;=2,TRUE,IF(_xlpm.ok+_xlpm.av&gt;=2,"À vérifier",FALSE))))))</f>
        <v>1</v>
      </c>
      <c r="H3" s="13" t="b">
        <v>1</v>
      </c>
      <c r="I3" s="13" t="b">
        <v>1</v>
      </c>
      <c r="J3" s="13" t="b">
        <v>1</v>
      </c>
      <c r="K3" s="13" t="str">
        <f t="shared" ref="K3:K40" si="0">IF(OR(B3="NNF",B3="LAN"),"-",ISNUMBER(SEARCH("de la CFTC",M3)))</f>
        <v>-</v>
      </c>
      <c r="L3" s="21" t="s">
        <v>192</v>
      </c>
      <c r="M3" s="14" t="s">
        <v>202</v>
      </c>
      <c r="N3" s="14" t="s">
        <v>178</v>
      </c>
      <c r="O3" s="14" t="s">
        <v>240</v>
      </c>
      <c r="P3" s="19" t="s">
        <v>270</v>
      </c>
      <c r="Q3" s="17"/>
      <c r="R3" s="21"/>
      <c r="S3" s="11"/>
    </row>
    <row r="4" spans="1:19" ht="45" x14ac:dyDescent="0.25">
      <c r="A4" s="10">
        <v>2026</v>
      </c>
      <c r="B4" s="10" t="s">
        <v>14</v>
      </c>
      <c r="C4" s="10" t="s">
        <v>159</v>
      </c>
      <c r="D4" s="21" t="s">
        <v>169</v>
      </c>
      <c r="E4" s="11" t="str" cm="1">
        <f t="array" ref="E4">_xlfn.LET(_xlpm.n,IFERROR(_xlfn.TEXTAFTER(D4,"/",-1),""),_xlpm.c,{"%20","%27","%28","%29","%2C","%C3%A9","%C3%A8","%C3%AA","%C3%A0","%C3%A2","%C3%A7","%C3%B4","%C3%AE","%C3%B9","%C3%BB","%C3%89","%C2%BA","%C2%B0"},_xlpm.r,{"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2026 protocole accord préélectoral signé.pdf</v>
      </c>
      <c r="F4" s="12">
        <f>DATE(2026,7,15)</f>
        <v>46218</v>
      </c>
      <c r="G4" s="13" t="b">
        <f>IF(ISNUMBER(SEARCH("PV de désaccord",C4)),TRUE,IF(AND(B4="LAN",I4=TRUE),TRUE,IF(AND(B4="NPS",I4=TRUE,K4=TRUE),TRUE,_xlfn.LET(_xlpm.ok,COUNTIF(H4:J4,TRUE),_xlpm.av,COUNTIF(H4:J4,"À vérifier"),IF(_xlpm.ok&gt;=2,TRUE,IF(_xlpm.ok+_xlpm.av&gt;=2,"À vérifier",FALSE))))))</f>
        <v>1</v>
      </c>
      <c r="H4" s="13" t="b">
        <v>1</v>
      </c>
      <c r="I4" s="13" t="b">
        <v>1</v>
      </c>
      <c r="J4" s="13" t="b">
        <v>1</v>
      </c>
      <c r="K4" s="13" t="b">
        <f t="shared" si="0"/>
        <v>1</v>
      </c>
      <c r="L4" s="21" t="s">
        <v>193</v>
      </c>
      <c r="M4" s="14" t="s">
        <v>89</v>
      </c>
      <c r="N4" s="14" t="s">
        <v>179</v>
      </c>
      <c r="O4" s="14" t="s">
        <v>240</v>
      </c>
      <c r="P4" s="19" t="s">
        <v>271</v>
      </c>
      <c r="Q4" s="17"/>
      <c r="R4" s="21"/>
      <c r="S4" s="11"/>
    </row>
    <row r="5" spans="1:19" ht="90" x14ac:dyDescent="0.25">
      <c r="A5" s="10">
        <v>2026</v>
      </c>
      <c r="B5" s="10" t="s">
        <v>13</v>
      </c>
      <c r="C5" s="10" t="s">
        <v>65</v>
      </c>
      <c r="D5" s="21" t="s">
        <v>109</v>
      </c>
      <c r="E5" s="11" t="str" cm="1">
        <f t="array" ref="E5">_xlfn.LET(_xlpm.n,IFERROR(_xlfn.TEXTAFTER(D5,"/",-1),""),_xlpm.c,{"%20","%27","%28","%29","%2C","%C3%A9","%C3%A8","%C3%AA","%C3%A0","%C3%A2","%C3%A7","%C3%B4","%C3%AE","%C3%B9","%C3%BB","%C3%89","%C2%BA","%C2%B0"},_xlpm.r,{"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Avenant nº 1 à l'Accord CSE du 21 septembre 2018.pdf</v>
      </c>
      <c r="F5" s="12">
        <v>46212</v>
      </c>
      <c r="G5" s="13" t="b">
        <f>IF(ISNUMBER(SEARCH("PV de désaccord",C5)),TRUE,IF(AND(B5="LAN",I5=TRUE),TRUE,IF(AND(B5="NPS",I5=TRUE,K5=TRUE),TRUE,_xlfn.LET(_xlpm.ok,COUNTIF(H5:J5,TRUE),_xlpm.av,COUNTIF(H5:J5,"À vérifier"),IF(_xlpm.ok&gt;=2,TRUE,IF(_xlpm.ok+_xlpm.av&gt;=2,"À vérifier",FALSE))))))</f>
        <v>1</v>
      </c>
      <c r="H5" s="13" t="b">
        <v>1</v>
      </c>
      <c r="I5" s="13" t="b">
        <v>1</v>
      </c>
      <c r="J5" s="13" t="b">
        <v>1</v>
      </c>
      <c r="K5" s="13" t="str">
        <f t="shared" si="0"/>
        <v>-</v>
      </c>
      <c r="L5" s="21" t="s">
        <v>70</v>
      </c>
      <c r="M5" s="12" t="s">
        <v>90</v>
      </c>
      <c r="N5" s="14" t="s">
        <v>117</v>
      </c>
      <c r="O5" s="14" t="s">
        <v>261</v>
      </c>
      <c r="P5" s="14" t="s">
        <v>272</v>
      </c>
      <c r="Q5" s="17" t="s">
        <v>8</v>
      </c>
      <c r="R5" s="21" t="s">
        <v>8</v>
      </c>
      <c r="S5" s="11" t="str" cm="1">
        <f t="array" ref="S5">_xlfn.LET(_xlpm.n,IFERROR(_xlfn.TEXTAFTER(R5,"/",-1),""),_xlpm.c,{"%20","%27","%28","%29","%2C","%C3%A9","%C3%A8","%C3%AA","%C3%A0","%C3%A2","%C3%A7","%C3%B4","%C3%AE","%C3%B9","%C3%BB","%C3%89","%C2%BA","%C2%B0"},_xlpm.r,{"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6" spans="1:19" ht="180" x14ac:dyDescent="0.25">
      <c r="A6" s="10">
        <v>2026</v>
      </c>
      <c r="B6" s="10" t="s">
        <v>13</v>
      </c>
      <c r="C6" s="10" t="s">
        <v>15</v>
      </c>
      <c r="D6" s="21" t="s">
        <v>104</v>
      </c>
      <c r="E6" s="15" t="str" cm="1">
        <f t="array" ref="E6">_xlfn.LET(_xlpm.n,IFERROR(_xlfn.TEXTAFTER(D6,"/",-1),""),_xlpm.c,{"%20","%27","%28","%29","%2C","%C3%A9","%C3%A8","%C3%AA","%C3%A0","%C3%A2","%C3%A7","%C3%B4","%C3%AE","%C3%B9","%C3%BB","%C3%89","%C2%BA","%C2%B0"},_xlpm.r,{"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d'entreprise relatif à la situation de handicap NNF.pdf</v>
      </c>
      <c r="F6" s="12">
        <v>46192</v>
      </c>
      <c r="G6" s="13" t="b">
        <f>IF(ISNUMBER(SEARCH("PV de désaccord",C6)),TRUE,IF(AND(B6="LAN",I6=TRUE),TRUE,IF(AND(B6="NPS",I6=TRUE,K6=TRUE),TRUE,_xlfn.LET(_xlpm.ok,COUNTIF(H6:J6,TRUE),_xlpm.av,COUNTIF(H6:J6,"À vérifier"),IF(_xlpm.ok&gt;=2,TRUE,IF(_xlpm.ok+_xlpm.av&gt;=2,"À vérifier",FALSE))))))</f>
        <v>1</v>
      </c>
      <c r="H6" s="13" t="b">
        <v>1</v>
      </c>
      <c r="I6" s="13" t="b">
        <v>1</v>
      </c>
      <c r="J6" s="13" t="b">
        <v>1</v>
      </c>
      <c r="K6" s="13" t="str">
        <f t="shared" si="0"/>
        <v>-</v>
      </c>
      <c r="L6" s="21" t="s">
        <v>190</v>
      </c>
      <c r="M6" s="12" t="s">
        <v>205</v>
      </c>
      <c r="N6" s="10" t="s">
        <v>118</v>
      </c>
      <c r="O6" s="10" t="s">
        <v>262</v>
      </c>
      <c r="P6" s="19" t="s">
        <v>273</v>
      </c>
      <c r="Q6" s="18" t="s">
        <v>8</v>
      </c>
      <c r="R6" s="21" t="s">
        <v>8</v>
      </c>
      <c r="S6" s="15" t="str" cm="1">
        <f t="array" ref="S6">_xlfn.LET(_xlpm.n,IFERROR(_xlfn.TEXTAFTER(R6,"/",-1),""),_xlpm.c,{"%20","%27","%28","%29","%2C","%C3%A9","%C3%A8","%C3%AA","%C3%A0","%C3%A2","%C3%A7","%C3%B4","%C3%AE","%C3%B9","%C3%BB","%C3%89","%C2%BA","%C2%B0"},_xlpm.r,{"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7" spans="1:19" ht="45" x14ac:dyDescent="0.25">
      <c r="A7" s="10">
        <v>2026</v>
      </c>
      <c r="B7" s="10" t="s">
        <v>188</v>
      </c>
      <c r="C7" s="10" t="s">
        <v>163</v>
      </c>
      <c r="D7" s="21" t="s">
        <v>176</v>
      </c>
      <c r="E7" s="11" t="str" cm="1">
        <f t="array" ref="E7">_xlfn.LET(_xlpm.n,IFERROR(_xlfn.TEXTAFTER(D7,"/",-1),""),_xlpm.c,{"%20","%27","%28","%29","%2C","%C3%A9","%C3%A8","%C3%AA","%C3%A0","%C3%A2","%C3%A7","%C3%B4","%C3%AE","%C3%B9","%C3%BB","%C3%89","%C2%BA","%C2%B0"},_xlpm.r,{"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Etablissement Prorogation des Mandats CSE-E Lannion.pdf</v>
      </c>
      <c r="F7" s="12">
        <f>DATE(2026,5,18)</f>
        <v>46160</v>
      </c>
      <c r="G7" s="13" t="b">
        <f>IF(ISNUMBER(SEARCH("PV de désaccord",C7)),TRUE,IF(AND(B7="LAN",I7=TRUE),TRUE,IF(AND(B7="NPS",I7=TRUE,K7=TRUE),TRUE,_xlfn.LET(_xlpm.ok,COUNTIF(H7:J7,TRUE),_xlpm.av,COUNTIF(H7:J7,"À vérifier"),IF(_xlpm.ok&gt;=2,TRUE,IF(_xlpm.ok+_xlpm.av&gt;=2,"À vérifier",FALSE))))))</f>
        <v>1</v>
      </c>
      <c r="H7" s="13" t="b">
        <v>1</v>
      </c>
      <c r="I7" s="13" t="b">
        <v>1</v>
      </c>
      <c r="J7" s="13" t="b">
        <v>1</v>
      </c>
      <c r="K7" s="13" t="str">
        <f t="shared" si="0"/>
        <v>-</v>
      </c>
      <c r="L7" s="21" t="s">
        <v>197</v>
      </c>
      <c r="M7" s="14" t="s">
        <v>206</v>
      </c>
      <c r="N7" s="14" t="s">
        <v>183</v>
      </c>
      <c r="O7" s="14"/>
      <c r="P7" s="19" t="s">
        <v>274</v>
      </c>
      <c r="Q7" s="17"/>
      <c r="R7" s="21"/>
      <c r="S7" s="11"/>
    </row>
    <row r="8" spans="1:19" ht="120" x14ac:dyDescent="0.25">
      <c r="A8" s="10">
        <v>2026</v>
      </c>
      <c r="B8" s="10" t="s">
        <v>13</v>
      </c>
      <c r="C8" s="10" t="s">
        <v>59</v>
      </c>
      <c r="D8" s="21" t="s">
        <v>110</v>
      </c>
      <c r="E8" s="11" t="str" cm="1">
        <f t="array" ref="E8">_xlfn.LET(_xlpm.n,IFERROR(_xlfn.TEXTAFTER(D8,"/",-1),""),_xlpm.c,{"%20","%27","%28","%29","%2C","%C3%A9","%C3%A8","%C3%AA","%C3%A0","%C3%A2","%C3%A7","%C3%B4","%C3%AE","%C3%B9","%C3%BB","%C3%89","%C2%BA","%C2%B0"},_xlpm.r,{"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NAO_2026_Procès_verbal_d_accord_24 janvier_2026.pdf</v>
      </c>
      <c r="F8" s="12">
        <f>DATE(2026,1,24)</f>
        <v>46046</v>
      </c>
      <c r="G8" s="13" t="b">
        <f>IF(ISNUMBER(SEARCH("PV de désaccord",C8)),TRUE,IF(AND(B8="LAN",I8=TRUE),TRUE,IF(AND(B8="NPS",I8=TRUE,K8=TRUE),TRUE,_xlfn.LET(_xlpm.ok,COUNTIF(H8:J8,TRUE),_xlpm.av,COUNTIF(H8:J8,"À vérifier"),IF(_xlpm.ok&gt;=2,TRUE,IF(_xlpm.ok+_xlpm.av&gt;=2,"À vérifier",FALSE))))))</f>
        <v>1</v>
      </c>
      <c r="H8" s="13" t="b">
        <v>1</v>
      </c>
      <c r="I8" s="13" t="b">
        <v>1</v>
      </c>
      <c r="J8" s="13" t="b">
        <v>1</v>
      </c>
      <c r="K8" s="13" t="str">
        <f t="shared" si="0"/>
        <v>-</v>
      </c>
      <c r="L8" s="21" t="s">
        <v>71</v>
      </c>
      <c r="M8" s="12" t="s">
        <v>87</v>
      </c>
      <c r="N8" s="14" t="s">
        <v>119</v>
      </c>
      <c r="O8" s="14" t="s">
        <v>263</v>
      </c>
      <c r="P8" s="19" t="s">
        <v>275</v>
      </c>
      <c r="Q8" s="17" t="s">
        <v>8</v>
      </c>
      <c r="R8" s="21" t="s">
        <v>8</v>
      </c>
      <c r="S8" s="11" t="str" cm="1">
        <f t="array" ref="S8">_xlfn.LET(_xlpm.n,IFERROR(_xlfn.TEXTAFTER(R8,"/",-1),""),_xlpm.c,{"%20","%27","%28","%29","%2C","%C3%A9","%C3%A8","%C3%AA","%C3%A0","%C3%A2","%C3%A7","%C3%B4","%C3%AE","%C3%B9","%C3%BB","%C3%89","%C2%BA","%C2%B0"},_xlpm.r,{"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9" spans="1:19" ht="60" x14ac:dyDescent="0.25">
      <c r="A9" s="10">
        <v>2026</v>
      </c>
      <c r="B9" s="10" t="s">
        <v>13</v>
      </c>
      <c r="C9" s="10" t="s">
        <v>58</v>
      </c>
      <c r="D9" s="21" t="s">
        <v>66</v>
      </c>
      <c r="E9" s="11" t="str" cm="1">
        <f t="array" ref="E9">_xlfn.LET(_xlpm.n,IFERROR(_xlfn.TEXTAFTER(D9,"/",-1),""),_xlpm.c,{"%20","%27","%28","%29","%2C","%C3%A9","%C3%A8","%C3%AA","%C3%A0","%C3%A2","%C3%A7","%C3%B4","%C3%AE","%C3%B9","%C3%BB","%C3%89","%C2%BA","%C2%B0"},_xlpm.r,{"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Avenant RCC 2025.pdf</v>
      </c>
      <c r="F9" s="12">
        <v>46037</v>
      </c>
      <c r="G9" s="13" t="b">
        <f>IF(ISNUMBER(SEARCH("PV de désaccord",C9)),TRUE,IF(AND(B9="LAN",I9=TRUE),TRUE,IF(AND(B9="NPS",I9=TRUE,K9=TRUE),TRUE,_xlfn.LET(_xlpm.ok,COUNTIF(H9:J9,TRUE),_xlpm.av,COUNTIF(H9:J9,"À vérifier"),IF(_xlpm.ok&gt;=2,TRUE,IF(_xlpm.ok+_xlpm.av&gt;=2,"À vérifier",FALSE))))))</f>
        <v>1</v>
      </c>
      <c r="H9" s="13" t="b">
        <v>0</v>
      </c>
      <c r="I9" s="13" t="b">
        <v>1</v>
      </c>
      <c r="J9" s="13" t="b">
        <v>1</v>
      </c>
      <c r="K9" s="13" t="str">
        <f t="shared" si="0"/>
        <v>-</v>
      </c>
      <c r="L9" s="21" t="s">
        <v>72</v>
      </c>
      <c r="M9" s="12" t="s">
        <v>207</v>
      </c>
      <c r="N9" s="14" t="s">
        <v>120</v>
      </c>
      <c r="O9" s="14" t="s">
        <v>243</v>
      </c>
      <c r="P9" s="14" t="s">
        <v>276</v>
      </c>
      <c r="Q9" s="17" t="s">
        <v>8</v>
      </c>
      <c r="R9" s="21" t="s">
        <v>8</v>
      </c>
      <c r="S9" s="11" t="str" cm="1">
        <f t="array" ref="S9">_xlfn.LET(_xlpm.n,IFERROR(_xlfn.TEXTAFTER(R9,"/",-1),""),_xlpm.c,{"%20","%27","%28","%29","%2C","%C3%A9","%C3%A8","%C3%AA","%C3%A0","%C3%A2","%C3%A7","%C3%B4","%C3%AE","%C3%B9","%C3%BB","%C3%89","%C2%BA","%C2%B0"},_xlpm.r,{"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10" spans="1:19" ht="45" x14ac:dyDescent="0.25">
      <c r="A10" s="10">
        <v>2026</v>
      </c>
      <c r="B10" s="10" t="s">
        <v>14</v>
      </c>
      <c r="C10" s="10" t="s">
        <v>57</v>
      </c>
      <c r="D10" s="21" t="s">
        <v>45</v>
      </c>
      <c r="E10" s="15" t="str" cm="1">
        <f t="array" ref="E10">_xlfn.LET(_xlpm.n,IFERROR(_xlfn.TEXTAFTER(D10,"/",-1),""),_xlpm.c,{"%20","%27","%28","%29","%2C","%C3%A9","%C3%A8","%C3%AA","%C3%A0","%C3%A2","%C3%A7","%C3%B4","%C3%AE","%C3%B9","%C3%BB","%C3%89","%C2%BA","%C2%B0"},_xlpm.r,{"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Aménagement Temps Travail NPS 2026 (19 décembre 2025).pdf</v>
      </c>
      <c r="F10" s="12">
        <v>46010</v>
      </c>
      <c r="G10" s="13" t="b">
        <f>IF(ISNUMBER(SEARCH("PV de désaccord",C10)),TRUE,IF(AND(B10="LAN",I10=TRUE),TRUE,IF(AND(B10="NPS",I10=TRUE,K10=TRUE),TRUE,_xlfn.LET(_xlpm.ok,COUNTIF(H10:J10,TRUE),_xlpm.av,COUNTIF(H10:J10,"À vérifier"),IF(_xlpm.ok&gt;=2,TRUE,IF(_xlpm.ok+_xlpm.av&gt;=2,"À vérifier",FALSE))))))</f>
        <v>1</v>
      </c>
      <c r="H10" s="13" t="b">
        <v>1</v>
      </c>
      <c r="I10" s="13" t="b">
        <v>1</v>
      </c>
      <c r="J10" s="13" t="b">
        <v>1</v>
      </c>
      <c r="K10" s="13" t="b">
        <f t="shared" si="0"/>
        <v>1</v>
      </c>
      <c r="L10" s="21" t="s">
        <v>73</v>
      </c>
      <c r="M10" s="12" t="s">
        <v>208</v>
      </c>
      <c r="N10" s="10" t="s">
        <v>121</v>
      </c>
      <c r="O10" s="10"/>
      <c r="P10" s="10" t="s">
        <v>277</v>
      </c>
      <c r="Q10" s="18" t="s">
        <v>8</v>
      </c>
      <c r="R10" s="21" t="s">
        <v>8</v>
      </c>
      <c r="S10" s="15" t="str" cm="1">
        <f t="array" ref="S10">_xlfn.LET(_xlpm.n,IFERROR(_xlfn.TEXTAFTER(R10,"/",-1),""),_xlpm.c,{"%20","%27","%28","%29","%2C","%C3%A9","%C3%A8","%C3%AA","%C3%A0","%C3%A2","%C3%A7","%C3%B4","%C3%AE","%C3%B9","%C3%BB","%C3%89","%C2%BA","%C2%B0"},_xlpm.r,{"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11" spans="1:19" ht="60" x14ac:dyDescent="0.25">
      <c r="A11" s="10">
        <v>2026</v>
      </c>
      <c r="B11" s="10" t="s">
        <v>13</v>
      </c>
      <c r="C11" s="10" t="s">
        <v>56</v>
      </c>
      <c r="D11" s="21" t="s">
        <v>111</v>
      </c>
      <c r="E11" s="11" t="str" cm="1">
        <f t="array" ref="E11">_xlfn.LET(_xlpm.n,IFERROR(_xlfn.TEXTAFTER(D11,"/",-1),""),_xlpm.c,{"%20","%27","%28","%29","%2C","%C3%A9","%C3%A8","%C3%AA","%C3%A0","%C3%A2","%C3%A7","%C3%B4","%C3%AE","%C3%B9","%C3%BB","%C3%89","%C2%BA","%C2%B0"},_xlpm.r,{"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collectif portant sur une Rupture Conventionnelle Collective (RCC) au sein de Nokia Networks France (compressé).pdf</v>
      </c>
      <c r="F11" s="12">
        <v>46010</v>
      </c>
      <c r="G11" s="13" t="b">
        <f>IF(ISNUMBER(SEARCH("PV de désaccord",C11)),TRUE,IF(AND(B11="LAN",I11=TRUE),TRUE,IF(AND(B11="NPS",I11=TRUE,K11=TRUE),TRUE,_xlfn.LET(_xlpm.ok,COUNTIF(H11:J11,TRUE),_xlpm.av,COUNTIF(H11:J11,"À vérifier"),IF(_xlpm.ok&gt;=2,TRUE,IF(_xlpm.ok+_xlpm.av&gt;=2,"À vérifier",FALSE))))))</f>
        <v>1</v>
      </c>
      <c r="H11" s="13" t="b">
        <v>0</v>
      </c>
      <c r="I11" s="13" t="b">
        <v>1</v>
      </c>
      <c r="J11" s="13" t="b">
        <v>1</v>
      </c>
      <c r="K11" s="13" t="str">
        <f t="shared" si="0"/>
        <v>-</v>
      </c>
      <c r="L11" s="21" t="s">
        <v>74</v>
      </c>
      <c r="M11" s="12" t="s">
        <v>209</v>
      </c>
      <c r="N11" s="14" t="s">
        <v>122</v>
      </c>
      <c r="O11" s="14" t="s">
        <v>264</v>
      </c>
      <c r="P11" s="14" t="s">
        <v>297</v>
      </c>
      <c r="Q11" s="17" t="s">
        <v>149</v>
      </c>
      <c r="R11" s="21" t="s">
        <v>47</v>
      </c>
      <c r="S11" s="11" t="str" cm="1">
        <f t="array" ref="S11">_xlfn.LET(_xlpm.n,IFERROR(_xlfn.TEXTAFTER(R11,"/",-1),""),_xlpm.c,{"%20","%27","%28","%29","%2C","%C3%A9","%C3%A8","%C3%AA","%C3%A0","%C3%A2","%C3%A7","%C3%B4","%C3%AE","%C3%B9","%C3%BB","%C3%89","%C2%BA","%C2%B0"},_xlpm.r,{"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tract_pour_ceux_qui_restent.pdf</v>
      </c>
    </row>
    <row r="12" spans="1:19" ht="45" x14ac:dyDescent="0.25">
      <c r="A12" s="10">
        <v>2025</v>
      </c>
      <c r="B12" s="10" t="s">
        <v>13</v>
      </c>
      <c r="C12" s="10" t="s">
        <v>17</v>
      </c>
      <c r="D12" s="21" t="s">
        <v>112</v>
      </c>
      <c r="E12" s="11" t="str" cm="1">
        <f t="array" ref="E12">_xlfn.LET(_xlpm.n,IFERROR(_xlfn.TEXTAFTER(D12,"/",-1),""),_xlpm.c,{"%20","%27","%28","%29","%2C","%C3%A9","%C3%A8","%C3%AA","%C3%A0","%C3%A2","%C3%A7","%C3%B4","%C3%AE","%C3%B9","%C3%BB","%C3%89","%C2%BA","%C2%B0"},_xlpm.r,{"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d'entreprise relatif au Plan d'Epargne Entreprise au sein de Nokia Networks France (16 décembre 2025).pdf</v>
      </c>
      <c r="F12" s="12">
        <v>46007</v>
      </c>
      <c r="G12" s="13" t="b">
        <f>IF(ISNUMBER(SEARCH("PV de désaccord",C12)),TRUE,IF(AND(B12="LAN",I12=TRUE),TRUE,IF(AND(B12="NPS",I12=TRUE,K12=TRUE),TRUE,_xlfn.LET(_xlpm.ok,COUNTIF(H12:J12,TRUE),_xlpm.av,COUNTIF(H12:J12,"À vérifier"),IF(_xlpm.ok&gt;=2,TRUE,IF(_xlpm.ok+_xlpm.av&gt;=2,"À vérifier",FALSE))))))</f>
        <v>1</v>
      </c>
      <c r="H12" s="13" t="b">
        <v>0</v>
      </c>
      <c r="I12" s="13" t="b">
        <v>1</v>
      </c>
      <c r="J12" s="13" t="b">
        <v>1</v>
      </c>
      <c r="K12" s="13" t="str">
        <f t="shared" si="0"/>
        <v>-</v>
      </c>
      <c r="L12" s="21" t="s">
        <v>75</v>
      </c>
      <c r="M12" s="12" t="s">
        <v>210</v>
      </c>
      <c r="N12" s="14" t="s">
        <v>123</v>
      </c>
      <c r="O12" s="14" t="s">
        <v>229</v>
      </c>
      <c r="P12" s="14" t="s">
        <v>232</v>
      </c>
      <c r="Q12" s="17" t="s">
        <v>8</v>
      </c>
      <c r="R12" s="21" t="s">
        <v>8</v>
      </c>
      <c r="S12" s="11" t="str" cm="1">
        <f t="array" ref="S12">_xlfn.LET(_xlpm.n,IFERROR(_xlfn.TEXTAFTER(R12,"/",-1),""),_xlpm.c,{"%20","%27","%28","%29","%2C","%C3%A9","%C3%A8","%C3%AA","%C3%A0","%C3%A2","%C3%A7","%C3%B4","%C3%AE","%C3%B9","%C3%BB","%C3%89","%C2%BA","%C2%B0"},_xlpm.r,{"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13" spans="1:19" ht="45" x14ac:dyDescent="0.25">
      <c r="A13" s="10">
        <v>2025</v>
      </c>
      <c r="B13" s="10" t="s">
        <v>13</v>
      </c>
      <c r="C13" s="10" t="s">
        <v>16</v>
      </c>
      <c r="D13" s="21" t="s">
        <v>113</v>
      </c>
      <c r="E13" s="11" t="str" cm="1">
        <f t="array" ref="E13">_xlfn.LET(_xlpm.n,IFERROR(_xlfn.TEXTAFTER(D13,"/",-1),""),_xlpm.c,{"%20","%27","%28","%29","%2C","%C3%A9","%C3%A8","%C3%AA","%C3%A0","%C3%A2","%C3%A7","%C3%B4","%C3%AE","%C3%B9","%C3%BB","%C3%89","%C2%BA","%C2%B0"},_xlpm.r,{"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d'entreprise relatif au Plan d'Epargne Retraite d'Entreprise Collectif PERCOL (16 décembre 2025).pdf</v>
      </c>
      <c r="F13" s="12">
        <v>46007</v>
      </c>
      <c r="G13" s="13" t="b">
        <f>IF(ISNUMBER(SEARCH("PV de désaccord",C13)),TRUE,IF(AND(B13="LAN",I13=TRUE),TRUE,IF(AND(B13="NPS",I13=TRUE,K13=TRUE),TRUE,_xlfn.LET(_xlpm.ok,COUNTIF(H13:J13,TRUE),_xlpm.av,COUNTIF(H13:J13,"À vérifier"),IF(_xlpm.ok&gt;=2,TRUE,IF(_xlpm.ok+_xlpm.av&gt;=2,"À vérifier",FALSE))))))</f>
        <v>1</v>
      </c>
      <c r="H13" s="13" t="b">
        <v>0</v>
      </c>
      <c r="I13" s="13" t="b">
        <v>1</v>
      </c>
      <c r="J13" s="13" t="b">
        <v>1</v>
      </c>
      <c r="K13" s="13" t="str">
        <f t="shared" si="0"/>
        <v>-</v>
      </c>
      <c r="L13" s="21" t="s">
        <v>76</v>
      </c>
      <c r="M13" s="12" t="s">
        <v>211</v>
      </c>
      <c r="N13" s="14" t="s">
        <v>124</v>
      </c>
      <c r="O13" s="14" t="s">
        <v>230</v>
      </c>
      <c r="P13" s="14" t="s">
        <v>233</v>
      </c>
      <c r="Q13" s="17" t="s">
        <v>8</v>
      </c>
      <c r="R13" s="21" t="s">
        <v>8</v>
      </c>
      <c r="S13" s="11" t="str" cm="1">
        <f t="array" ref="S13">_xlfn.LET(_xlpm.n,IFERROR(_xlfn.TEXTAFTER(R13,"/",-1),""),_xlpm.c,{"%20","%27","%28","%29","%2C","%C3%A9","%C3%A8","%C3%AA","%C3%A0","%C3%A2","%C3%A7","%C3%B4","%C3%AE","%C3%B9","%C3%BB","%C3%89","%C2%BA","%C2%B0"},_xlpm.r,{"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14" spans="1:19" ht="30" x14ac:dyDescent="0.25">
      <c r="A14" s="10">
        <v>2025</v>
      </c>
      <c r="B14" s="10" t="s">
        <v>13</v>
      </c>
      <c r="C14" s="10" t="s">
        <v>19</v>
      </c>
      <c r="D14" s="21" t="s">
        <v>33</v>
      </c>
      <c r="E14" s="11" t="str" cm="1">
        <f t="array" ref="E14">_xlfn.LET(_xlpm.n,IFERROR(_xlfn.TEXTAFTER(D14,"/",-1),""),_xlpm.c,{"%20","%27","%28","%29","%2C","%C3%A9","%C3%A8","%C3%AA","%C3%A0","%C3%A2","%C3%A7","%C3%B4","%C3%AE","%C3%B9","%C3%BB","%C3%89","%C2%BA","%C2%B0"},_xlpm.r,{"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GEPP PV de désaccord mis à signature.pdf</v>
      </c>
      <c r="F14" s="12">
        <v>45930</v>
      </c>
      <c r="G14" s="13" t="b">
        <v>0</v>
      </c>
      <c r="H14" s="13" t="s">
        <v>8</v>
      </c>
      <c r="I14" s="13" t="s">
        <v>8</v>
      </c>
      <c r="J14" s="13" t="s">
        <v>8</v>
      </c>
      <c r="K14" s="13" t="str">
        <f t="shared" si="0"/>
        <v>-</v>
      </c>
      <c r="L14" s="21" t="s">
        <v>224</v>
      </c>
      <c r="M14" s="12" t="s">
        <v>88</v>
      </c>
      <c r="N14" s="14" t="s">
        <v>125</v>
      </c>
      <c r="O14" s="14" t="s">
        <v>97</v>
      </c>
      <c r="P14" s="14" t="s">
        <v>234</v>
      </c>
      <c r="Q14" s="17" t="s">
        <v>150</v>
      </c>
      <c r="R14" s="21" t="s">
        <v>48</v>
      </c>
      <c r="S14" s="11" t="str" cm="1">
        <f t="array" ref="S14">_xlfn.LET(_xlpm.n,IFERROR(_xlfn.TEXTAFTER(R14,"/",-1),""),_xlpm.c,{"%20","%27","%28","%29","%2C","%C3%A9","%C3%A8","%C3%AA","%C3%A0","%C3%A2","%C3%A7","%C3%B4","%C3%AE","%C3%B9","%C3%BB","%C3%89","%C2%BA","%C2%B0"},_xlpm.r,{"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tract_rcc_2026.pdf</v>
      </c>
    </row>
    <row r="15" spans="1:19" ht="45" x14ac:dyDescent="0.25">
      <c r="A15" s="10">
        <v>2025</v>
      </c>
      <c r="B15" s="10" t="s">
        <v>13</v>
      </c>
      <c r="C15" s="10" t="s">
        <v>18</v>
      </c>
      <c r="D15" s="1" t="s">
        <v>29</v>
      </c>
      <c r="E15" s="11" t="str" cm="1">
        <f t="array" ref="E15">_xlfn.LET(_xlpm.n,IFERROR(_xlfn.TEXTAFTER(D15,"/",-1),""),_xlpm.c,{"%20","%27","%28","%29","%2C","%C3%A9","%C3%A8","%C3%AA","%C3%A0","%C3%A2","%C3%A7","%C3%B4","%C3%AE","%C3%B9","%C3%BB","%C3%89","%C2%BA","%C2%B0"},_xlpm.r,{"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CET (24 juillet 2025).pdf</v>
      </c>
      <c r="F15" s="12">
        <f>DATE(2025,7,24)</f>
        <v>45862</v>
      </c>
      <c r="G15" s="13" t="b">
        <f>IF(ISNUMBER(SEARCH("PV de désaccord",C15)),TRUE,IF(AND(B15="LAN",I15=TRUE),TRUE,IF(AND(B15="NPS",I15=TRUE,K15=TRUE),TRUE,_xlfn.LET(_xlpm.ok,COUNTIF(H15:J15,TRUE),_xlpm.av,COUNTIF(H15:J15,"À vérifier"),IF(_xlpm.ok&gt;=2,TRUE,IF(_xlpm.ok+_xlpm.av&gt;=2,"À vérifier",FALSE))))))</f>
        <v>1</v>
      </c>
      <c r="H15" s="13" t="b">
        <v>0</v>
      </c>
      <c r="I15" s="13" t="b">
        <v>1</v>
      </c>
      <c r="J15" s="13" t="b">
        <v>1</v>
      </c>
      <c r="K15" s="13" t="str">
        <f t="shared" si="0"/>
        <v>-</v>
      </c>
      <c r="L15" s="21" t="s">
        <v>77</v>
      </c>
      <c r="M15" s="12" t="s">
        <v>212</v>
      </c>
      <c r="N15" s="14" t="s">
        <v>126</v>
      </c>
      <c r="O15" s="14" t="s">
        <v>265</v>
      </c>
      <c r="P15" s="14" t="s">
        <v>278</v>
      </c>
      <c r="Q15" s="17" t="s">
        <v>8</v>
      </c>
      <c r="R15" s="21" t="s">
        <v>8</v>
      </c>
      <c r="S15" s="11" t="str" cm="1">
        <f t="array" ref="S15">_xlfn.LET(_xlpm.n,IFERROR(_xlfn.TEXTAFTER(R15,"/",-1),""),_xlpm.c,{"%20","%27","%28","%29","%2C","%C3%A9","%C3%A8","%C3%AA","%C3%A0","%C3%A2","%C3%A7","%C3%B4","%C3%AE","%C3%B9","%C3%BB","%C3%89","%C2%BA","%C2%B0"},_xlpm.r,{"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16" spans="1:19" ht="45" x14ac:dyDescent="0.25">
      <c r="A16" s="10">
        <v>2025</v>
      </c>
      <c r="B16" s="10" t="s">
        <v>13</v>
      </c>
      <c r="C16" s="10" t="s">
        <v>162</v>
      </c>
      <c r="D16" s="21" t="s">
        <v>175</v>
      </c>
      <c r="E16" s="11" t="str" cm="1">
        <f t="array" ref="E16">_xlfn.LET(_xlpm.n,IFERROR(_xlfn.TEXTAFTER(D16,"/",-1),""),_xlpm.c,{"%20","%27","%28","%29","%2C","%C3%A9","%C3%A8","%C3%AA","%C3%A0","%C3%A2","%C3%A7","%C3%B4","%C3%AE","%C3%B9","%C3%BB","%C3%89","%C2%BA","%C2%B0"},_xlpm.r,{"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Avenant frais de santé (9 avril 2025).pdf</v>
      </c>
      <c r="F16" s="12">
        <f>DATE(2025,4,9)</f>
        <v>45756</v>
      </c>
      <c r="G16" s="13" t="b">
        <f>IF(ISNUMBER(SEARCH("PV de désaccord",C16)),TRUE,IF(AND(B16="LAN",I16=TRUE),TRUE,IF(AND(B16="NPS",I16=TRUE,K16=TRUE),TRUE,_xlfn.LET(_xlpm.ok,COUNTIF(H16:J16,TRUE),_xlpm.av,COUNTIF(H16:J16,"À vérifier"),IF(_xlpm.ok&gt;=2,TRUE,IF(_xlpm.ok+_xlpm.av&gt;=2,"À vérifier",FALSE))))))</f>
        <v>1</v>
      </c>
      <c r="H16" s="13" t="b">
        <v>1</v>
      </c>
      <c r="I16" s="13" t="b">
        <v>1</v>
      </c>
      <c r="J16" s="13" t="b">
        <v>1</v>
      </c>
      <c r="K16" s="13" t="str">
        <f t="shared" si="0"/>
        <v>-</v>
      </c>
      <c r="L16" s="21" t="s">
        <v>196</v>
      </c>
      <c r="M16" s="14" t="s">
        <v>213</v>
      </c>
      <c r="N16" s="14" t="s">
        <v>182</v>
      </c>
      <c r="O16" s="14" t="s">
        <v>244</v>
      </c>
      <c r="P16" s="14" t="s">
        <v>242</v>
      </c>
      <c r="Q16" s="17"/>
      <c r="R16" s="21"/>
      <c r="S16" s="11"/>
    </row>
    <row r="17" spans="1:19" ht="60" x14ac:dyDescent="0.25">
      <c r="A17" s="10">
        <v>2025</v>
      </c>
      <c r="B17" s="10" t="s">
        <v>13</v>
      </c>
      <c r="C17" s="10" t="s">
        <v>21</v>
      </c>
      <c r="D17" s="1" t="s">
        <v>114</v>
      </c>
      <c r="E17" s="11" t="str" cm="1">
        <f t="array" ref="E17">_xlfn.LET(_xlpm.n,IFERROR(_xlfn.TEXTAFTER(D17,"/",-1),""),_xlpm.c,{"%20","%27","%28","%29","%2C","%C3%A9","%C3%A8","%C3%AA","%C3%A0","%C3%A2","%C3%A7","%C3%B4","%C3%AE","%C3%B9","%C3%BB","%C3%89","%C2%BA","%C2%B0"},_xlpm.r,{"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d'intéressement 2025-2028.pdf</v>
      </c>
      <c r="F17" s="12">
        <v>45744</v>
      </c>
      <c r="G17" s="13" t="b">
        <f>IF(ISNUMBER(SEARCH("PV de désaccord",C17)),TRUE,IF(AND(B17="LAN",I17=TRUE),TRUE,IF(AND(B17="NPS",I17=TRUE,K17=TRUE),TRUE,_xlfn.LET(_xlpm.ok,COUNTIF(H17:J17,TRUE),_xlpm.av,COUNTIF(H17:J17,"À vérifier"),IF(_xlpm.ok&gt;=2,TRUE,IF(_xlpm.ok+_xlpm.av&gt;=2,"À vérifier",FALSE))))))</f>
        <v>1</v>
      </c>
      <c r="H17" s="13" t="b">
        <v>1</v>
      </c>
      <c r="I17" s="13" t="b">
        <v>1</v>
      </c>
      <c r="J17" s="13" t="b">
        <v>1</v>
      </c>
      <c r="K17" s="13" t="str">
        <f t="shared" si="0"/>
        <v>-</v>
      </c>
      <c r="L17" s="21" t="s">
        <v>78</v>
      </c>
      <c r="M17" s="12" t="s">
        <v>93</v>
      </c>
      <c r="N17" s="14" t="s">
        <v>127</v>
      </c>
      <c r="O17" s="14" t="s">
        <v>231</v>
      </c>
      <c r="P17" s="14" t="s">
        <v>279</v>
      </c>
      <c r="Q17" s="17" t="s">
        <v>8</v>
      </c>
      <c r="R17" s="21" t="s">
        <v>8</v>
      </c>
      <c r="S17" s="11" t="str" cm="1">
        <f t="array" ref="S17">_xlfn.LET(_xlpm.n,IFERROR(_xlfn.TEXTAFTER(R17,"/",-1),""),_xlpm.c,{"%20","%27","%28","%29","%2C","%C3%A9","%C3%A8","%C3%AA","%C3%A0","%C3%A2","%C3%A7","%C3%B4","%C3%AE","%C3%B9","%C3%BB","%C3%89","%C2%BA","%C2%B0"},_xlpm.r,{"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18" spans="1:19" ht="45" x14ac:dyDescent="0.25">
      <c r="A18" s="10">
        <v>2025</v>
      </c>
      <c r="B18" s="10" t="s">
        <v>13</v>
      </c>
      <c r="C18" s="10" t="s">
        <v>25</v>
      </c>
      <c r="D18" s="21" t="s">
        <v>44</v>
      </c>
      <c r="E18" s="11" t="str" cm="1">
        <f t="array" ref="E18">_xlfn.LET(_xlpm.n,IFERROR(_xlfn.TEXTAFTER(D18,"/",-1),""),_xlpm.c,{"%20","%27","%28","%29","%2C","%C3%A9","%C3%A8","%C3%AA","%C3%A0","%C3%A2","%C3%A7","%C3%B4","%C3%AE","%C3%B9","%C3%BB","%C3%89","%C2%BA","%C2%B0"},_xlpm.r,{"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Procès verbal NAO (désaccord) 2025 (27 mars 2025).pdf</v>
      </c>
      <c r="F18" s="12">
        <v>45743</v>
      </c>
      <c r="G18" s="13" t="b">
        <v>0</v>
      </c>
      <c r="H18" s="13" t="s">
        <v>8</v>
      </c>
      <c r="I18" s="13" t="s">
        <v>8</v>
      </c>
      <c r="J18" s="13" t="s">
        <v>8</v>
      </c>
      <c r="K18" s="13" t="str">
        <f t="shared" si="0"/>
        <v>-</v>
      </c>
      <c r="L18" s="21" t="s">
        <v>225</v>
      </c>
      <c r="M18" s="12" t="s">
        <v>88</v>
      </c>
      <c r="N18" s="14" t="s">
        <v>128</v>
      </c>
      <c r="O18" s="14" t="s">
        <v>266</v>
      </c>
      <c r="P18" s="14" t="s">
        <v>280</v>
      </c>
      <c r="Q18" s="17" t="s">
        <v>151</v>
      </c>
      <c r="R18" s="21" t="s">
        <v>49</v>
      </c>
      <c r="S18" s="11" t="str" cm="1">
        <f t="array" ref="S18">_xlfn.LET(_xlpm.n,IFERROR(_xlfn.TEXTAFTER(R18,"/",-1),""),_xlpm.c,{"%20","%27","%28","%29","%2C","%C3%A9","%C3%A8","%C3%AA","%C3%A0","%C3%A2","%C3%A7","%C3%B4","%C3%AE","%C3%B9","%C3%BB","%C3%89","%C2%BA","%C2%B0"},_xlpm.r,{"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tract-salaires-2025.pdf</v>
      </c>
    </row>
    <row r="19" spans="1:19" ht="75" x14ac:dyDescent="0.25">
      <c r="A19" s="10">
        <v>2025</v>
      </c>
      <c r="B19" s="10" t="s">
        <v>188</v>
      </c>
      <c r="C19" s="10" t="s">
        <v>160</v>
      </c>
      <c r="D19" s="21" t="s">
        <v>173</v>
      </c>
      <c r="E19" s="11" t="str" cm="1">
        <f t="array" ref="E19">_xlfn.LET(_xlpm.n,IFERROR(_xlfn.TEXTAFTER(D19,"/",-1),""),_xlpm.c,{"%20","%27","%28","%29","%2C","%C3%A9","%C3%A8","%C3%AA","%C3%A0","%C3%A2","%C3%A7","%C3%B4","%C3%AE","%C3%B9","%C3%BB","%C3%89","%C2%BA","%C2%B0"},_xlpm.r,{"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Avenant Accord ARTT Lannion 20 03 2025.pdf</v>
      </c>
      <c r="F19" s="12">
        <f>DATE(2025,3,20)</f>
        <v>45736</v>
      </c>
      <c r="G19" s="13" t="b">
        <f>IF(ISNUMBER(SEARCH("PV de désaccord",C19)),TRUE,IF(AND(B19="LAN",I19=TRUE),TRUE,IF(AND(B19="NPS",I19=TRUE,K19=TRUE),TRUE,_xlfn.LET(_xlpm.ok,COUNTIF(H19:J19,TRUE),_xlpm.av,COUNTIF(H19:J19,"À vérifier"),IF(_xlpm.ok&gt;=2,TRUE,IF(_xlpm.ok+_xlpm.av&gt;=2,"À vérifier",FALSE))))))</f>
        <v>1</v>
      </c>
      <c r="H19" s="13" t="b">
        <v>0</v>
      </c>
      <c r="I19" s="13" t="b">
        <v>1</v>
      </c>
      <c r="J19" s="13" t="b">
        <v>0</v>
      </c>
      <c r="K19" s="13" t="str">
        <f t="shared" si="0"/>
        <v>-</v>
      </c>
      <c r="L19" s="21" t="s">
        <v>194</v>
      </c>
      <c r="M19" s="14" t="s">
        <v>214</v>
      </c>
      <c r="N19" s="14" t="s">
        <v>180</v>
      </c>
      <c r="O19" s="14" t="s">
        <v>251</v>
      </c>
      <c r="P19" s="14" t="s">
        <v>281</v>
      </c>
      <c r="Q19" s="17"/>
      <c r="R19" s="21"/>
      <c r="S19" s="11"/>
    </row>
    <row r="20" spans="1:19" ht="45" x14ac:dyDescent="0.25">
      <c r="A20" s="10">
        <v>2025</v>
      </c>
      <c r="B20" s="10" t="s">
        <v>188</v>
      </c>
      <c r="C20" s="10" t="s">
        <v>161</v>
      </c>
      <c r="D20" s="21" t="s">
        <v>174</v>
      </c>
      <c r="E20" s="11" t="str" cm="1">
        <f t="array" ref="E20">_xlfn.LET(_xlpm.n,IFERROR(_xlfn.TEXTAFTER(D20,"/",-1),""),_xlpm.c,{"%20","%27","%28","%29","%2C","%C3%A9","%C3%A8","%C3%AA","%C3%A0","%C3%A2","%C3%A7","%C3%B4","%C3%AE","%C3%B9","%C3%BB","%C3%89","%C2%BA","%C2%B0"},_xlpm.r,{"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Avenant Accord Horaire Variable Lannion 20 03 2025.pdf</v>
      </c>
      <c r="F20" s="12">
        <f>DATE(2025,3,20)</f>
        <v>45736</v>
      </c>
      <c r="G20" s="13" t="b">
        <f>IF(ISNUMBER(SEARCH("PV de désaccord",C20)),TRUE,IF(AND(B20="LAN",I20=TRUE),TRUE,IF(AND(B20="NPS",I20=TRUE,K20=TRUE),TRUE,_xlfn.LET(_xlpm.ok,COUNTIF(H20:J20,TRUE),_xlpm.av,COUNTIF(H20:J20,"À vérifier"),IF(_xlpm.ok&gt;=2,TRUE,IF(_xlpm.ok+_xlpm.av&gt;=2,"À vérifier",FALSE))))))</f>
        <v>1</v>
      </c>
      <c r="H20" s="13" t="b">
        <v>0</v>
      </c>
      <c r="I20" s="13" t="b">
        <v>1</v>
      </c>
      <c r="J20" s="13" t="b">
        <v>0</v>
      </c>
      <c r="K20" s="13" t="str">
        <f t="shared" si="0"/>
        <v>-</v>
      </c>
      <c r="L20" s="21" t="s">
        <v>195</v>
      </c>
      <c r="M20" s="14" t="s">
        <v>215</v>
      </c>
      <c r="N20" s="14" t="s">
        <v>181</v>
      </c>
      <c r="O20" s="14" t="s">
        <v>253</v>
      </c>
      <c r="P20" s="14" t="s">
        <v>252</v>
      </c>
      <c r="Q20" s="17"/>
      <c r="R20" s="21"/>
      <c r="S20" s="11"/>
    </row>
    <row r="21" spans="1:19" ht="90" x14ac:dyDescent="0.25">
      <c r="A21" s="10">
        <v>2025</v>
      </c>
      <c r="B21" s="10" t="s">
        <v>13</v>
      </c>
      <c r="C21" s="10" t="s">
        <v>61</v>
      </c>
      <c r="D21" s="21" t="s">
        <v>115</v>
      </c>
      <c r="E21" s="11" t="str" cm="1">
        <f t="array" ref="E21">_xlfn.LET(_xlpm.n,IFERROR(_xlfn.TEXTAFTER(D21,"/",-1),""),_xlpm.c,{"%20","%27","%28","%29","%2C","%C3%A9","%C3%A8","%C3%AA","%C3%A0","%C3%A2","%C3%A7","%C3%B4","%C3%AE","%C3%B9","%C3%BB","%C3%89","%C2%BA","%C2%B0"},_xlpm.r,{"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Avenant accord télétravail avril 2022.pdf</v>
      </c>
      <c r="F21" s="12">
        <v>45712</v>
      </c>
      <c r="G21" s="13" t="b">
        <f>IF(ISNUMBER(SEARCH("PV de désaccord",C21)),TRUE,IF(AND(B21="LAN",I21=TRUE),TRUE,IF(AND(B21="NPS",I21=TRUE,K21=TRUE),TRUE,_xlfn.LET(_xlpm.ok,COUNTIF(H21:J21,TRUE),_xlpm.av,COUNTIF(H21:J21,"À vérifier"),IF(_xlpm.ok&gt;=2,TRUE,IF(_xlpm.ok+_xlpm.av&gt;=2,"À vérifier",FALSE))))))</f>
        <v>1</v>
      </c>
      <c r="H21" s="13" t="b">
        <v>0</v>
      </c>
      <c r="I21" s="13" t="b">
        <v>1</v>
      </c>
      <c r="J21" s="13" t="b">
        <v>1</v>
      </c>
      <c r="K21" s="13" t="str">
        <f t="shared" si="0"/>
        <v>-</v>
      </c>
      <c r="L21" s="21" t="s">
        <v>79</v>
      </c>
      <c r="M21" s="12" t="s">
        <v>207</v>
      </c>
      <c r="N21" s="14" t="s">
        <v>129</v>
      </c>
      <c r="O21" s="14" t="s">
        <v>267</v>
      </c>
      <c r="P21" s="14" t="s">
        <v>282</v>
      </c>
      <c r="Q21" s="17" t="s">
        <v>152</v>
      </c>
      <c r="R21" s="21" t="s">
        <v>50</v>
      </c>
      <c r="S21" s="11" t="str" cm="1">
        <f t="array" ref="S21">_xlfn.LET(_xlpm.n,IFERROR(_xlfn.TEXTAFTER(R21,"/",-1),""),_xlpm.c,{"%20","%27","%28","%29","%2C","%C3%A9","%C3%A8","%C3%AA","%C3%A0","%C3%A2","%C3%A7","%C3%B4","%C3%AE","%C3%B9","%C3%BB","%C3%89","%C2%BA","%C2%B0"},_xlpm.r,{"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tract-avenant-TL-v2.pdf</v>
      </c>
    </row>
    <row r="22" spans="1:19" ht="30" x14ac:dyDescent="0.25">
      <c r="A22" s="10">
        <v>2025</v>
      </c>
      <c r="B22" s="10" t="s">
        <v>14</v>
      </c>
      <c r="C22" s="10" t="s">
        <v>62</v>
      </c>
      <c r="D22" s="22" t="s">
        <v>105</v>
      </c>
      <c r="E22" s="15" t="str" cm="1">
        <f t="array" ref="E22">_xlfn.LET(_xlpm.n,IFERROR(_xlfn.TEXTAFTER(D22,"/",-1),""),_xlpm.c,{"%20","%27","%28","%29","%2C","%C3%A9","%C3%A8","%C3%AA","%C3%A0","%C3%A2","%C3%A7","%C3%B4","%C3%AE","%C3%B9","%C3%BB","%C3%89","%C2%BA","%C2%B0"},_xlpm.r,{"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2025 NPS - aménagement temps de travail (20 janvier 2025).pdf</v>
      </c>
      <c r="F22" s="16">
        <v>45677</v>
      </c>
      <c r="G22" s="13" t="b">
        <f>IF(ISNUMBER(SEARCH("PV de désaccord",C22)),TRUE,IF(AND(B22="LAN",I22=TRUE),TRUE,IF(AND(B22="NPS",I22=TRUE,K22=TRUE),TRUE,_xlfn.LET(_xlpm.ok,COUNTIF(H22:J22,TRUE),_xlpm.av,COUNTIF(H22:J22,"À vérifier"),IF(_xlpm.ok&gt;=2,TRUE,IF(_xlpm.ok+_xlpm.av&gt;=2,"À vérifier",FALSE))))))</f>
        <v>1</v>
      </c>
      <c r="H22" s="13" t="b">
        <v>1</v>
      </c>
      <c r="I22" s="13" t="b">
        <v>1</v>
      </c>
      <c r="J22" s="13" t="b">
        <v>1</v>
      </c>
      <c r="K22" s="13" t="b">
        <f t="shared" si="0"/>
        <v>1</v>
      </c>
      <c r="L22" s="21" t="s">
        <v>191</v>
      </c>
      <c r="M22" s="16" t="s">
        <v>216</v>
      </c>
      <c r="N22" s="10" t="s">
        <v>130</v>
      </c>
      <c r="O22" s="10"/>
      <c r="P22" s="10" t="s">
        <v>283</v>
      </c>
      <c r="Q22" s="18" t="s">
        <v>8</v>
      </c>
      <c r="R22" s="21" t="s">
        <v>8</v>
      </c>
      <c r="S22" s="15" t="str" cm="1">
        <f t="array" ref="S22">_xlfn.LET(_xlpm.n,IFERROR(_xlfn.TEXTAFTER(R22,"/",-1),""),_xlpm.c,{"%20","%27","%28","%29","%2C","%C3%A9","%C3%A8","%C3%AA","%C3%A0","%C3%A2","%C3%A7","%C3%B4","%C3%AE","%C3%B9","%C3%BB","%C3%89","%C2%BA","%C2%B0"},_xlpm.r,{"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23" spans="1:19" ht="45" x14ac:dyDescent="0.25">
      <c r="A23" s="10">
        <v>2024</v>
      </c>
      <c r="B23" s="10" t="s">
        <v>13</v>
      </c>
      <c r="C23" s="10" t="s">
        <v>6</v>
      </c>
      <c r="D23" s="21" t="s">
        <v>42</v>
      </c>
      <c r="E23" s="11" t="str" cm="1">
        <f t="array" ref="E23">_xlfn.LET(_xlpm.n,IFERROR(_xlfn.TEXTAFTER(D23,"/",-1),""),_xlpm.c,{"%20","%27","%28","%29","%2C","%C3%A9","%C3%A8","%C3%AA","%C3%A0","%C3%A2","%C3%A7","%C3%B4","%C3%AE","%C3%B9","%C3%BB","%C3%89","%C2%BA","%C2%B0"},_xlpm.r,{"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don de jours 14 novembre 2024.pdf</v>
      </c>
      <c r="F23" s="12">
        <v>45610</v>
      </c>
      <c r="G23" s="13" t="b">
        <f>IF(ISNUMBER(SEARCH("PV de désaccord",C23)),TRUE,IF(AND(B23="LAN",I23=TRUE),TRUE,IF(AND(B23="NPS",I23=TRUE,K23=TRUE),TRUE,_xlfn.LET(_xlpm.ok,COUNTIF(H23:J23,TRUE),_xlpm.av,COUNTIF(H23:J23,"À vérifier"),IF(_xlpm.ok&gt;=2,TRUE,IF(_xlpm.ok+_xlpm.av&gt;=2,"À vérifier",FALSE))))))</f>
        <v>1</v>
      </c>
      <c r="H23" s="13" t="b">
        <v>1</v>
      </c>
      <c r="I23" s="13" t="b">
        <v>1</v>
      </c>
      <c r="J23" s="13" t="b">
        <v>1</v>
      </c>
      <c r="K23" s="13" t="str">
        <f t="shared" si="0"/>
        <v>-</v>
      </c>
      <c r="L23" s="21" t="s">
        <v>80</v>
      </c>
      <c r="M23" s="12" t="s">
        <v>202</v>
      </c>
      <c r="N23" s="14" t="s">
        <v>131</v>
      </c>
      <c r="O23" s="14" t="s">
        <v>98</v>
      </c>
      <c r="P23" s="14" t="s">
        <v>235</v>
      </c>
      <c r="Q23" s="17" t="s">
        <v>8</v>
      </c>
      <c r="R23" s="21" t="s">
        <v>8</v>
      </c>
      <c r="S23" s="11" t="str" cm="1">
        <f t="array" ref="S23">_xlfn.LET(_xlpm.n,IFERROR(_xlfn.TEXTAFTER(R23,"/",-1),""),_xlpm.c,{"%20","%27","%28","%29","%2C","%C3%A9","%C3%A8","%C3%AA","%C3%A0","%C3%A2","%C3%A7","%C3%B4","%C3%AE","%C3%B9","%C3%BB","%C3%89","%C2%BA","%C2%B0"},_xlpm.r,{"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24" spans="1:19" ht="105" x14ac:dyDescent="0.25">
      <c r="A24" s="10">
        <v>2024</v>
      </c>
      <c r="B24" s="10" t="s">
        <v>13</v>
      </c>
      <c r="C24" s="10" t="s">
        <v>20</v>
      </c>
      <c r="D24" s="22" t="s">
        <v>106</v>
      </c>
      <c r="E24" s="11" t="str" cm="1">
        <f t="array" ref="E24">_xlfn.LET(_xlpm.n,IFERROR(_xlfn.TEXTAFTER(D24,"/",-1),""),_xlpm.c,{"%20","%27","%28","%29","%2C","%C3%A9","%C3%A8","%C3%AA","%C3%A0","%C3%A2","%C3%A7","%C3%B4","%C3%AE","%C3%B9","%C3%BB","%C3%89","%C2%BA","%C2%B0"},_xlpm.r,{"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PV désaccord Partage de la valeur VS.pdf</v>
      </c>
      <c r="F24" s="12">
        <v>45538</v>
      </c>
      <c r="G24" s="13" t="b">
        <v>0</v>
      </c>
      <c r="H24" s="13" t="s">
        <v>8</v>
      </c>
      <c r="I24" s="13" t="s">
        <v>8</v>
      </c>
      <c r="J24" s="13" t="s">
        <v>8</v>
      </c>
      <c r="K24" s="13" t="str">
        <f t="shared" si="0"/>
        <v>-</v>
      </c>
      <c r="L24" s="21" t="s">
        <v>226</v>
      </c>
      <c r="M24" s="12" t="s">
        <v>88</v>
      </c>
      <c r="N24" s="14" t="s">
        <v>250</v>
      </c>
      <c r="O24" s="14" t="s">
        <v>268</v>
      </c>
      <c r="P24" s="14" t="s">
        <v>284</v>
      </c>
      <c r="Q24" s="17" t="s">
        <v>8</v>
      </c>
      <c r="R24" s="21" t="s">
        <v>8</v>
      </c>
      <c r="S24" s="11" t="str" cm="1">
        <f t="array" ref="S24">_xlfn.LET(_xlpm.n,IFERROR(_xlfn.TEXTAFTER(R24,"/",-1),""),_xlpm.c,{"%20","%27","%28","%29","%2C","%C3%A9","%C3%A8","%C3%AA","%C3%A0","%C3%A2","%C3%A7","%C3%B4","%C3%AE","%C3%B9","%C3%BB","%C3%89","%C2%BA","%C2%B0"},_xlpm.r,{"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25" spans="1:19" ht="60" x14ac:dyDescent="0.25">
      <c r="A25" s="10">
        <v>2024</v>
      </c>
      <c r="B25" s="10" t="s">
        <v>14</v>
      </c>
      <c r="C25" s="10" t="s">
        <v>7</v>
      </c>
      <c r="D25" s="21" t="s">
        <v>38</v>
      </c>
      <c r="E25" s="11" t="str" cm="1">
        <f t="array" ref="E25">_xlfn.LET(_xlpm.n,IFERROR(_xlfn.TEXTAFTER(D25,"/",-1),""),_xlpm.c,{"%20","%27","%28","%29","%2C","%C3%A9","%C3%A8","%C3%AA","%C3%A0","%C3%A2","%C3%A7","%C3%B4","%C3%AE","%C3%B9","%C3%BB","%C3%89","%C2%BA","%C2%B0"},_xlpm.r,{"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RCC 2024 (19 avril 2024).pdf</v>
      </c>
      <c r="F25" s="12">
        <v>45401</v>
      </c>
      <c r="G25" s="13" t="b">
        <f>IF(ISNUMBER(SEARCH("PV de désaccord",C25)),TRUE,IF(AND(B25="LAN",I25=TRUE),TRUE,IF(AND(B25="NPS",I25=TRUE,K25=TRUE),TRUE,_xlfn.LET(_xlpm.ok,COUNTIF(H25:J25,TRUE),_xlpm.av,COUNTIF(H25:J25,"À vérifier"),IF(_xlpm.ok&gt;=2,TRUE,IF(_xlpm.ok+_xlpm.av&gt;=2,"À vérifier",FALSE))))))</f>
        <v>1</v>
      </c>
      <c r="H25" s="13" t="b">
        <v>1</v>
      </c>
      <c r="I25" s="13" t="b">
        <v>1</v>
      </c>
      <c r="J25" s="13" t="b">
        <v>1</v>
      </c>
      <c r="K25" s="13" t="b">
        <f t="shared" si="0"/>
        <v>1</v>
      </c>
      <c r="L25" s="21" t="s">
        <v>81</v>
      </c>
      <c r="M25" s="12" t="s">
        <v>91</v>
      </c>
      <c r="N25" s="14" t="s">
        <v>132</v>
      </c>
      <c r="O25" s="14" t="s">
        <v>245</v>
      </c>
      <c r="P25" s="14" t="s">
        <v>296</v>
      </c>
      <c r="Q25" s="17" t="s">
        <v>153</v>
      </c>
      <c r="R25" s="21" t="s">
        <v>51</v>
      </c>
      <c r="S25" s="11" t="str" cm="1">
        <f t="array" ref="S25">_xlfn.LET(_xlpm.n,IFERROR(_xlfn.TEXTAFTER(R25,"/",-1),""),_xlpm.c,{"%20","%27","%28","%29","%2C","%C3%A9","%C3%A8","%C3%AA","%C3%A0","%C3%A2","%C3%A7","%C3%B4","%C3%AE","%C3%B9","%C3%BB","%C3%89","%C2%BA","%C2%B0"},_xlpm.r,{"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tract_bilan_rcc24_v4.pdf</v>
      </c>
    </row>
    <row r="26" spans="1:19" ht="60" x14ac:dyDescent="0.25">
      <c r="A26" s="10">
        <v>2024</v>
      </c>
      <c r="B26" s="10" t="s">
        <v>13</v>
      </c>
      <c r="C26" s="10" t="s">
        <v>32</v>
      </c>
      <c r="D26" s="21" t="s">
        <v>43</v>
      </c>
      <c r="E26" s="11" t="str" cm="1">
        <f t="array" ref="E26">_xlfn.LET(_xlpm.n,IFERROR(_xlfn.TEXTAFTER(D26,"/",-1),""),_xlpm.c,{"%20","%27","%28","%29","%2C","%C3%A9","%C3%A8","%C3%AA","%C3%A0","%C3%A2","%C3%A7","%C3%B4","%C3%AE","%C3%B9","%C3%BB","%C3%89","%C2%BA","%C2%B0"},_xlpm.r,{"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Avenant Procès-verbal de désaccord NAO 2024 (9 avril 2024).pdf</v>
      </c>
      <c r="F26" s="12">
        <f>DATE(2024,4,9)</f>
        <v>45391</v>
      </c>
      <c r="G26" s="13" t="b">
        <v>0</v>
      </c>
      <c r="H26" s="13" t="s">
        <v>8</v>
      </c>
      <c r="I26" s="13" t="s">
        <v>8</v>
      </c>
      <c r="J26" s="13" t="s">
        <v>8</v>
      </c>
      <c r="K26" s="13" t="str">
        <f t="shared" si="0"/>
        <v>-</v>
      </c>
      <c r="L26" s="21" t="s">
        <v>227</v>
      </c>
      <c r="M26" s="12" t="s">
        <v>88</v>
      </c>
      <c r="N26" s="14" t="s">
        <v>134</v>
      </c>
      <c r="O26" s="14" t="s">
        <v>269</v>
      </c>
      <c r="P26" s="14" t="s">
        <v>285</v>
      </c>
      <c r="Q26" s="17" t="s">
        <v>155</v>
      </c>
      <c r="R26" s="21" t="s">
        <v>108</v>
      </c>
      <c r="S26" s="11" t="str" cm="1">
        <f t="array" ref="S26">_xlfn.LET(_xlpm.n,IFERROR(_xlfn.TEXTAFTER(R26,"/",-1),""),_xlpm.c,{"%20","%27","%28","%29","%2C","%C3%A9","%C3%A8","%C3%AA","%C3%A0","%C3%A2","%C3%A7","%C3%B4","%C3%AE","%C3%B9","%C3%BB","%C3%89","%C2%BA","%C2%B0"},_xlpm.r,{"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tract_retour_salaires_2024_v1.pdf</v>
      </c>
    </row>
    <row r="27" spans="1:19" ht="30" x14ac:dyDescent="0.25">
      <c r="A27" s="10">
        <v>2024</v>
      </c>
      <c r="B27" s="10" t="s">
        <v>13</v>
      </c>
      <c r="C27" s="10" t="s">
        <v>22</v>
      </c>
      <c r="D27" s="21" t="s">
        <v>39</v>
      </c>
      <c r="E27" s="11" t="str" cm="1">
        <f t="array" ref="E27">_xlfn.LET(_xlpm.n,IFERROR(_xlfn.TEXTAFTER(D27,"/",-1),""),_xlpm.c,{"%20","%27","%28","%29","%2C","%C3%A9","%C3%A8","%C3%AA","%C3%A0","%C3%A2","%C3%A7","%C3%B4","%C3%AE","%C3%B9","%C3%BB","%C3%89","%C2%BA","%C2%B0"},_xlpm.r,{"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CGF.pdf</v>
      </c>
      <c r="F27" s="12">
        <v>45366</v>
      </c>
      <c r="G27" s="13" t="b">
        <f>IF(ISNUMBER(SEARCH("PV de désaccord",C27)),TRUE,IF(AND(B27="LAN",I27=TRUE),TRUE,IF(AND(B27="NPS",I27=TRUE,K27=TRUE),TRUE,_xlfn.LET(_xlpm.ok,COUNTIF(H27:J27,TRUE),_xlpm.av,COUNTIF(H27:J27,"À vérifier"),IF(_xlpm.ok&gt;=2,TRUE,IF(_xlpm.ok+_xlpm.av&gt;=2,"À vérifier",FALSE))))))</f>
        <v>1</v>
      </c>
      <c r="H27" s="13" t="b">
        <v>1</v>
      </c>
      <c r="I27" s="13" t="b">
        <v>1</v>
      </c>
      <c r="J27" s="13" t="b">
        <v>1</v>
      </c>
      <c r="K27" s="13" t="str">
        <f t="shared" si="0"/>
        <v>-</v>
      </c>
      <c r="L27" s="21" t="s">
        <v>67</v>
      </c>
      <c r="M27" s="12" t="s">
        <v>86</v>
      </c>
      <c r="N27" s="14" t="s">
        <v>99</v>
      </c>
      <c r="O27" s="14" t="s">
        <v>100</v>
      </c>
      <c r="P27" s="14" t="s">
        <v>236</v>
      </c>
      <c r="Q27" s="17" t="s">
        <v>8</v>
      </c>
      <c r="R27" s="21" t="s">
        <v>8</v>
      </c>
      <c r="S27" s="11" t="str" cm="1">
        <f t="array" ref="S27">_xlfn.LET(_xlpm.n,IFERROR(_xlfn.TEXTAFTER(R27,"/",-1),""),_xlpm.c,{"%20","%27","%28","%29","%2C","%C3%A9","%C3%A8","%C3%AA","%C3%A0","%C3%A2","%C3%A7","%C3%B4","%C3%AE","%C3%B9","%C3%BB","%C3%89","%C2%BA","%C2%B0"},_xlpm.r,{"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28" spans="1:19" ht="47.25" customHeight="1" x14ac:dyDescent="0.25">
      <c r="A28" s="10">
        <v>2024</v>
      </c>
      <c r="B28" s="10" t="s">
        <v>188</v>
      </c>
      <c r="C28" s="10" t="s">
        <v>164</v>
      </c>
      <c r="D28" s="21" t="s">
        <v>170</v>
      </c>
      <c r="E28" s="11" t="str" cm="1">
        <f t="array" ref="E28">_xlfn.LET(_xlpm.n,IFERROR(_xlfn.TEXTAFTER(D28,"/",-1),""),_xlpm.c,{"%20","%27","%28","%29","%2C","%C3%A9","%C3%A8","%C3%AA","%C3%A0","%C3%A2","%C3%A7","%C3%B4","%C3%AE","%C3%B9","%C3%BB","%C3%89","%C2%BA","%C2%B0"},_xlpm.r,{"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Etablissement NNF Lannion Mise en place accord cadre nouvelle CCN du 7 mars 2024.pdf</v>
      </c>
      <c r="F28" s="12">
        <f>DATE(2024,3,7)</f>
        <v>45358</v>
      </c>
      <c r="G28" s="13" t="b">
        <f>IF(ISNUMBER(SEARCH("PV de désaccord",C28)),TRUE,IF(AND(B28="LAN",I28=TRUE),TRUE,IF(AND(B28="NPS",I28=TRUE,K28=TRUE),TRUE,_xlfn.LET(_xlpm.ok,COUNTIF(H28:J28,TRUE),_xlpm.av,COUNTIF(H28:J28,"À vérifier"),IF(_xlpm.ok&gt;=2,TRUE,IF(_xlpm.ok+_xlpm.av&gt;=2,"À vérifier",FALSE))))))</f>
        <v>1</v>
      </c>
      <c r="H28" s="13" t="b">
        <v>1</v>
      </c>
      <c r="I28" s="13" t="b">
        <v>1</v>
      </c>
      <c r="J28" s="13" t="b">
        <v>1</v>
      </c>
      <c r="K28" s="13" t="str">
        <f t="shared" si="0"/>
        <v>-</v>
      </c>
      <c r="L28" s="21" t="s">
        <v>198</v>
      </c>
      <c r="M28" s="14" t="s">
        <v>217</v>
      </c>
      <c r="N28" s="14" t="s">
        <v>184</v>
      </c>
      <c r="O28" s="14" t="s">
        <v>254</v>
      </c>
      <c r="P28" s="19" t="s">
        <v>286</v>
      </c>
      <c r="Q28" s="17"/>
      <c r="R28" s="21"/>
      <c r="S28" s="11"/>
    </row>
    <row r="29" spans="1:19" ht="52.5" customHeight="1" x14ac:dyDescent="0.25">
      <c r="A29" s="10">
        <v>2024</v>
      </c>
      <c r="B29" s="10" t="s">
        <v>14</v>
      </c>
      <c r="C29" s="10" t="s">
        <v>63</v>
      </c>
      <c r="D29" s="21" t="s">
        <v>30</v>
      </c>
      <c r="E29" s="11" t="str" cm="1">
        <f t="array" ref="E29">_xlfn.LET(_xlpm.n,IFERROR(_xlfn.TEXTAFTER(D29,"/",-1),""),_xlpm.c,{"%20","%27","%28","%29","%2C","%C3%A9","%C3%A8","%C3%AA","%C3%A0","%C3%A2","%C3%A7","%C3%B4","%C3%AE","%C3%B9","%C3%BB","%C3%89","%C2%BA","%C2%B0"},_xlpm.r,{"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cadre NPS nouvelle convention collective- 2024 signé.pdf</v>
      </c>
      <c r="F29" s="12">
        <f>DATE(2024,2,29)</f>
        <v>45351</v>
      </c>
      <c r="G29" s="13" t="b">
        <f>IF(ISNUMBER(SEARCH("PV de désaccord",C29)),TRUE,IF(AND(B29="LAN",I29=TRUE),TRUE,IF(AND(B29="NPS",I29=TRUE,K29=TRUE),TRUE,_xlfn.LET(_xlpm.ok,COUNTIF(H29:J29,TRUE),_xlpm.av,COUNTIF(H29:J29,"À vérifier"),IF(_xlpm.ok&gt;=2,TRUE,IF(_xlpm.ok+_xlpm.av&gt;=2,"À vérifier",FALSE))))))</f>
        <v>1</v>
      </c>
      <c r="H29" s="13" t="b">
        <v>1</v>
      </c>
      <c r="I29" s="13" t="b">
        <v>1</v>
      </c>
      <c r="J29" s="13" t="b">
        <v>1</v>
      </c>
      <c r="K29" s="13" t="b">
        <f t="shared" si="0"/>
        <v>1</v>
      </c>
      <c r="L29" s="21" t="s">
        <v>82</v>
      </c>
      <c r="M29" s="12" t="s">
        <v>218</v>
      </c>
      <c r="N29" s="14" t="s">
        <v>133</v>
      </c>
      <c r="O29" s="14" t="s">
        <v>255</v>
      </c>
      <c r="P29" s="19" t="s">
        <v>286</v>
      </c>
      <c r="Q29" s="17" t="s">
        <v>154</v>
      </c>
      <c r="R29" s="21" t="s">
        <v>52</v>
      </c>
      <c r="S29" s="11" t="str" cm="1">
        <f t="array" ref="S29">_xlfn.LET(_xlpm.n,IFERROR(_xlfn.TEXTAFTER(R29,"/",-1),""),_xlpm.c,{"%20","%27","%28","%29","%2C","%C3%A9","%C3%A8","%C3%AA","%C3%A0","%C3%A2","%C3%A7","%C3%B4","%C3%AE","%C3%B9","%C3%BB","%C3%89","%C2%BA","%C2%B0"},_xlpm.r,{"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ncc cotation 3.pdf</v>
      </c>
    </row>
    <row r="30" spans="1:19" ht="63" customHeight="1" x14ac:dyDescent="0.25">
      <c r="A30" s="10">
        <v>2024</v>
      </c>
      <c r="B30" s="10" t="s">
        <v>13</v>
      </c>
      <c r="C30" s="10" t="s">
        <v>165</v>
      </c>
      <c r="D30" s="21" t="s">
        <v>171</v>
      </c>
      <c r="E30" s="11" t="str" cm="1">
        <f t="array" ref="E30">_xlfn.LET(_xlpm.n,IFERROR(_xlfn.TEXTAFTER(D30,"/",-1),""),_xlpm.c,{"%20","%27","%28","%29","%2C","%C3%A9","%C3%A8","%C3%AA","%C3%A0","%C3%A2","%C3%A7","%C3%B4","%C3%AE","%C3%B9","%C3%BB","%C3%89","%C2%BA","%C2%B0"},_xlpm.r,{"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collectif mise en place CCN.pdf</v>
      </c>
      <c r="F30" s="12">
        <f>DATE(2024,2,15)</f>
        <v>45337</v>
      </c>
      <c r="G30" s="13" t="b">
        <f>IF(ISNUMBER(SEARCH("PV de désaccord",C30)),TRUE,IF(AND(B30="LAN",I30=TRUE),TRUE,IF(AND(B30="NPS",I30=TRUE,K30=TRUE),TRUE,_xlfn.LET(_xlpm.ok,COUNTIF(H30:J30,TRUE),_xlpm.av,COUNTIF(H30:J30,"À vérifier"),IF(_xlpm.ok&gt;=2,TRUE,IF(_xlpm.ok+_xlpm.av&gt;=2,"À vérifier",FALSE))))))</f>
        <v>1</v>
      </c>
      <c r="H30" s="13" t="b">
        <v>1</v>
      </c>
      <c r="I30" s="13" t="b">
        <v>1</v>
      </c>
      <c r="J30" s="13" t="b">
        <v>1</v>
      </c>
      <c r="K30" s="13" t="str">
        <f t="shared" si="0"/>
        <v>-</v>
      </c>
      <c r="L30" s="21" t="s">
        <v>199</v>
      </c>
      <c r="M30" s="14" t="s">
        <v>217</v>
      </c>
      <c r="N30" s="14" t="s">
        <v>185</v>
      </c>
      <c r="O30" s="14" t="s">
        <v>256</v>
      </c>
      <c r="P30" s="19" t="s">
        <v>286</v>
      </c>
      <c r="Q30" s="17"/>
      <c r="R30" s="21"/>
      <c r="S30" s="11"/>
    </row>
    <row r="31" spans="1:19" ht="45" x14ac:dyDescent="0.25">
      <c r="A31" s="10">
        <v>2023</v>
      </c>
      <c r="B31" s="10" t="s">
        <v>13</v>
      </c>
      <c r="C31" s="10" t="s">
        <v>64</v>
      </c>
      <c r="D31" s="21" t="s">
        <v>107</v>
      </c>
      <c r="E31" s="11" t="str" cm="1">
        <f t="array" ref="E31">_xlfn.LET(_xlpm.n,IFERROR(_xlfn.TEXTAFTER(D31,"/",-1),""),_xlpm.c,{"%20","%27","%28","%29","%2C","%C3%A9","%C3%A8","%C3%AA","%C3%A0","%C3%A2","%C3%A7","%C3%B4","%C3%AE","%C3%B9","%C3%BB","%C3%89","%C2%BA","%C2%B0"},_xlpm.r,{"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harmonisation taux variable cible salariés non sales du 19 décembre 2023.pdf</v>
      </c>
      <c r="F31" s="12">
        <v>45279</v>
      </c>
      <c r="G31" s="13" t="b">
        <f>IF(ISNUMBER(SEARCH("PV de désaccord",C31)),TRUE,IF(AND(B31="LAN",I31=TRUE),TRUE,IF(AND(B31="NPS",I31=TRUE,K31=TRUE),TRUE,_xlfn.LET(_xlpm.ok,COUNTIF(H31:J31,TRUE),_xlpm.av,COUNTIF(H31:J31,"À vérifier"),IF(_xlpm.ok&gt;=2,TRUE,IF(_xlpm.ok+_xlpm.av&gt;=2,"À vérifier",FALSE))))))</f>
        <v>1</v>
      </c>
      <c r="H31" s="13" t="b">
        <v>1</v>
      </c>
      <c r="I31" s="13" t="b">
        <v>1</v>
      </c>
      <c r="J31" s="13" t="b">
        <v>1</v>
      </c>
      <c r="K31" s="13" t="str">
        <f t="shared" si="0"/>
        <v>-</v>
      </c>
      <c r="L31" s="21" t="s">
        <v>203</v>
      </c>
      <c r="M31" s="12" t="s">
        <v>86</v>
      </c>
      <c r="N31" s="14" t="s">
        <v>135</v>
      </c>
      <c r="O31" s="14" t="s">
        <v>258</v>
      </c>
      <c r="P31" s="14" t="s">
        <v>257</v>
      </c>
      <c r="Q31" s="17" t="s">
        <v>8</v>
      </c>
      <c r="R31" s="21" t="s">
        <v>8</v>
      </c>
      <c r="S31" s="11" t="str" cm="1">
        <f t="array" ref="S31">_xlfn.LET(_xlpm.n,IFERROR(_xlfn.TEXTAFTER(R31,"/",-1),""),_xlpm.c,{"%20","%27","%28","%29","%2C","%C3%A9","%C3%A8","%C3%AA","%C3%A0","%C3%A2","%C3%A7","%C3%B4","%C3%AE","%C3%B9","%C3%BB","%C3%89","%C2%BA","%C2%B0"},_xlpm.r,{"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32" spans="1:19" ht="45" x14ac:dyDescent="0.25">
      <c r="A32" s="10">
        <v>2024</v>
      </c>
      <c r="B32" s="10" t="s">
        <v>14</v>
      </c>
      <c r="C32" s="10" t="s">
        <v>60</v>
      </c>
      <c r="D32" s="21" t="s">
        <v>31</v>
      </c>
      <c r="E32" s="11" t="str" cm="1">
        <f t="array" ref="E32">_xlfn.LET(_xlpm.n,IFERROR(_xlfn.TEXTAFTER(D32,"/",-1),""),_xlpm.c,{"%20","%27","%28","%29","%2C","%C3%A9","%C3%A8","%C3%AA","%C3%A0","%C3%A2","%C3%A7","%C3%B4","%C3%AE","%C3%B9","%C3%BB","%C3%89","%C2%BA","%C2%B0"},_xlpm.r,{"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aménagement temps travail NPS 2024.pdf</v>
      </c>
      <c r="F32" s="12">
        <v>45268</v>
      </c>
      <c r="G32" s="13" t="b">
        <f>IF(ISNUMBER(SEARCH("PV de désaccord",C32)),TRUE,IF(AND(B32="LAN",I32=TRUE),TRUE,IF(AND(B32="NPS",I32=TRUE,K32=TRUE),TRUE,_xlfn.LET(_xlpm.ok,COUNTIF(H32:J32,TRUE),_xlpm.av,COUNTIF(H32:J32,"À vérifier"),IF(_xlpm.ok&gt;=2,TRUE,IF(_xlpm.ok+_xlpm.av&gt;=2,"À vérifier",FALSE))))))</f>
        <v>1</v>
      </c>
      <c r="H32" s="13" t="b">
        <v>1</v>
      </c>
      <c r="I32" s="13" t="b">
        <v>1</v>
      </c>
      <c r="J32" s="13" t="b">
        <v>1</v>
      </c>
      <c r="K32" s="13" t="b">
        <f t="shared" si="0"/>
        <v>1</v>
      </c>
      <c r="L32" s="21" t="s">
        <v>68</v>
      </c>
      <c r="M32" s="12" t="s">
        <v>219</v>
      </c>
      <c r="N32" s="14" t="s">
        <v>136</v>
      </c>
      <c r="O32" s="14" t="s">
        <v>237</v>
      </c>
      <c r="P32" s="19" t="s">
        <v>287</v>
      </c>
      <c r="Q32" s="17" t="s">
        <v>8</v>
      </c>
      <c r="R32" s="21" t="s">
        <v>8</v>
      </c>
      <c r="S32" s="11" t="str" cm="1">
        <f t="array" ref="S32">_xlfn.LET(_xlpm.n,IFERROR(_xlfn.TEXTAFTER(R32,"/",-1),""),_xlpm.c,{"%20","%27","%28","%29","%2C","%C3%A9","%C3%A8","%C3%AA","%C3%A0","%C3%A2","%C3%A7","%C3%B4","%C3%AE","%C3%B9","%C3%BB","%C3%89","%C2%BA","%C2%B0"},_xlpm.r,{"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33" spans="1:19" ht="30" x14ac:dyDescent="0.25">
      <c r="A33" s="10">
        <v>2023</v>
      </c>
      <c r="B33" s="10" t="s">
        <v>13</v>
      </c>
      <c r="C33" s="10" t="s">
        <v>23</v>
      </c>
      <c r="D33" s="21" t="s">
        <v>37</v>
      </c>
      <c r="E33" s="11" t="str" cm="1">
        <f t="array" ref="E33">_xlfn.LET(_xlpm.n,IFERROR(_xlfn.TEXTAFTER(D33,"/",-1),""),_xlpm.c,{"%20","%27","%28","%29","%2C","%C3%A9","%C3%A8","%C3%AA","%C3%A0","%C3%A2","%C3%A7","%C3%B4","%C3%AE","%C3%B9","%C3%BB","%C3%89","%C2%BA","%C2%B0"},_xlpm.r,{"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de substitution non cadres - 30 novembre 2023.pdf</v>
      </c>
      <c r="F33" s="12">
        <f>DATE(2023,11,30)</f>
        <v>45260</v>
      </c>
      <c r="G33" s="13" t="b">
        <f>IF(ISNUMBER(SEARCH("PV de désaccord",C33)),TRUE,IF(AND(B33="LAN",I33=TRUE),TRUE,IF(AND(B33="NPS",I33=TRUE,K33=TRUE),TRUE,_xlfn.LET(_xlpm.ok,COUNTIF(H33:J33,TRUE),_xlpm.av,COUNTIF(H33:J33,"À vérifier"),IF(_xlpm.ok&gt;=2,TRUE,IF(_xlpm.ok+_xlpm.av&gt;=2,"À vérifier",FALSE))))))</f>
        <v>1</v>
      </c>
      <c r="H33" s="13" t="b">
        <v>1</v>
      </c>
      <c r="I33" s="13" t="b">
        <v>1</v>
      </c>
      <c r="J33" s="13" t="b">
        <v>1</v>
      </c>
      <c r="K33" s="13" t="str">
        <f t="shared" si="0"/>
        <v>-</v>
      </c>
      <c r="L33" s="21" t="s">
        <v>83</v>
      </c>
      <c r="M33" s="12" t="s">
        <v>92</v>
      </c>
      <c r="N33" s="14" t="s">
        <v>137</v>
      </c>
      <c r="O33" s="14" t="s">
        <v>246</v>
      </c>
      <c r="P33" s="14" t="s">
        <v>288</v>
      </c>
      <c r="Q33" s="17" t="s">
        <v>8</v>
      </c>
      <c r="R33" s="21" t="s">
        <v>8</v>
      </c>
      <c r="S33" s="11" t="str" cm="1">
        <f t="array" ref="S33">_xlfn.LET(_xlpm.n,IFERROR(_xlfn.TEXTAFTER(R33,"/",-1),""),_xlpm.c,{"%20","%27","%28","%29","%2C","%C3%A9","%C3%A8","%C3%AA","%C3%A0","%C3%A2","%C3%A7","%C3%B4","%C3%AE","%C3%B9","%C3%BB","%C3%89","%C2%BA","%C2%B0"},_xlpm.r,{"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34" spans="1:19" ht="60" x14ac:dyDescent="0.25">
      <c r="A34" s="10">
        <v>2023</v>
      </c>
      <c r="B34" s="10" t="s">
        <v>13</v>
      </c>
      <c r="C34" s="10" t="s">
        <v>5</v>
      </c>
      <c r="D34" s="21" t="s">
        <v>36</v>
      </c>
      <c r="E34" s="11" t="str" cm="1">
        <f t="array" ref="E34">_xlfn.LET(_xlpm.n,IFERROR(_xlfn.TEXTAFTER(D34,"/",-1),""),_xlpm.c,{"%20","%27","%28","%29","%2C","%C3%A9","%C3%A8","%C3%AA","%C3%A0","%C3%A2","%C3%A7","%C3%B4","%C3%AE","%C3%B9","%C3%BB","%C3%89","%C2%BA","%C2%B0"},_xlpm.r,{"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RCC 2023.pdf</v>
      </c>
      <c r="F34" s="12">
        <v>45111</v>
      </c>
      <c r="G34" s="13" t="b">
        <f>IF(ISNUMBER(SEARCH("PV de désaccord",C34)),TRUE,IF(AND(B34="LAN",I34=TRUE),TRUE,IF(AND(B34="NPS",I34=TRUE,K34=TRUE),TRUE,_xlfn.LET(_xlpm.ok,COUNTIF(H34:J34,TRUE),_xlpm.av,COUNTIF(H34:J34,"À vérifier"),IF(_xlpm.ok&gt;=2,TRUE,IF(_xlpm.ok+_xlpm.av&gt;=2,"À vérifier",FALSE))))))</f>
        <v>1</v>
      </c>
      <c r="H34" s="13" t="b">
        <v>1</v>
      </c>
      <c r="I34" s="13" t="b">
        <v>1</v>
      </c>
      <c r="J34" s="13" t="b">
        <v>0</v>
      </c>
      <c r="K34" s="13" t="str">
        <f t="shared" si="0"/>
        <v>-</v>
      </c>
      <c r="L34" s="21" t="s">
        <v>84</v>
      </c>
      <c r="M34" s="12" t="s">
        <v>220</v>
      </c>
      <c r="N34" s="14" t="s">
        <v>138</v>
      </c>
      <c r="O34" s="14" t="s">
        <v>247</v>
      </c>
      <c r="P34" s="14" t="s">
        <v>289</v>
      </c>
      <c r="Q34" s="17" t="s">
        <v>156</v>
      </c>
      <c r="R34" s="21" t="s">
        <v>53</v>
      </c>
      <c r="S34" s="11" t="str" cm="1">
        <f t="array" ref="S34">_xlfn.LET(_xlpm.n,IFERROR(_xlfn.TEXTAFTER(R34,"/",-1),""),_xlpm.c,{"%20","%27","%28","%29","%2C","%C3%A9","%C3%A8","%C3%AA","%C3%A0","%C3%A2","%C3%A7","%C3%B4","%C3%AE","%C3%B9","%C3%BB","%C3%89","%C2%BA","%C2%B0"},_xlpm.r,{"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Tract Volontariat RCC.pdf</v>
      </c>
    </row>
    <row r="35" spans="1:19" ht="30" x14ac:dyDescent="0.25">
      <c r="A35" s="10">
        <v>2023</v>
      </c>
      <c r="B35" s="10" t="s">
        <v>13</v>
      </c>
      <c r="C35" s="10" t="s">
        <v>26</v>
      </c>
      <c r="D35" s="21" t="s">
        <v>41</v>
      </c>
      <c r="E35" s="11" t="str" cm="1">
        <f t="array" ref="E35">_xlfn.LET(_xlpm.n,IFERROR(_xlfn.TEXTAFTER(D35,"/",-1),""),_xlpm.c,{"%20","%27","%28","%29","%2C","%C3%A9","%C3%A8","%C3%AA","%C3%A0","%C3%A2","%C3%A7","%C3%B4","%C3%AE","%C3%B9","%C3%BB","%C3%89","%C2%BA","%C2%B0"},_xlpm.r,{"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NAO 2023 - PV désaccord.pdf</v>
      </c>
      <c r="F35" s="12">
        <v>45028</v>
      </c>
      <c r="G35" s="13" t="b">
        <v>0</v>
      </c>
      <c r="H35" s="13" t="s">
        <v>8</v>
      </c>
      <c r="I35" s="13" t="s">
        <v>8</v>
      </c>
      <c r="J35" s="13" t="s">
        <v>8</v>
      </c>
      <c r="K35" s="13" t="str">
        <f t="shared" si="0"/>
        <v>-</v>
      </c>
      <c r="L35" s="21" t="s">
        <v>228</v>
      </c>
      <c r="M35" s="12" t="s">
        <v>88</v>
      </c>
      <c r="N35" s="14" t="s">
        <v>139</v>
      </c>
      <c r="O35" s="14" t="s">
        <v>101</v>
      </c>
      <c r="P35" s="14" t="s">
        <v>238</v>
      </c>
      <c r="Q35" s="17" t="s">
        <v>157</v>
      </c>
      <c r="R35" s="21" t="s">
        <v>54</v>
      </c>
      <c r="S35" s="11" t="str" cm="1">
        <f t="array" ref="S35">_xlfn.LET(_xlpm.n,IFERROR(_xlfn.TEXTAFTER(R35,"/",-1),""),_xlpm.c,{"%20","%27","%28","%29","%2C","%C3%A9","%C3%A8","%C3%AA","%C3%A0","%C3%A2","%C3%A7","%C3%B4","%C3%AE","%C3%B9","%C3%BB","%C3%89","%C2%BA","%C2%B0"},_xlpm.r,{"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Tract brèves de printemps.pdf</v>
      </c>
    </row>
    <row r="36" spans="1:19" ht="75" x14ac:dyDescent="0.25">
      <c r="A36" s="10">
        <v>2023</v>
      </c>
      <c r="B36" s="10" t="s">
        <v>13</v>
      </c>
      <c r="C36" s="10" t="s">
        <v>4</v>
      </c>
      <c r="D36" s="21" t="s">
        <v>34</v>
      </c>
      <c r="E36" s="11" t="str" cm="1">
        <f t="array" ref="E36">_xlfn.LET(_xlpm.n,IFERROR(_xlfn.TEXTAFTER(D36,"/",-1),""),_xlpm.c,{"%20","%27","%28","%29","%2C","%C3%A9","%C3%A8","%C3%AA","%C3%A0","%C3%A2","%C3%A7","%C3%B4","%C3%AE","%C3%B9","%C3%BB","%C3%89","%C2%BA","%C2%B0"},_xlpm.r,{"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égalité professionnelle.pdf</v>
      </c>
      <c r="F36" s="12">
        <v>45028</v>
      </c>
      <c r="G36" s="13" t="b">
        <f>IF(ISNUMBER(SEARCH("PV de désaccord",C36)),TRUE,IF(AND(B36="LAN",I36=TRUE),TRUE,IF(AND(B36="NPS",I36=TRUE,K36=TRUE),TRUE,_xlfn.LET(_xlpm.ok,COUNTIF(H36:J36,TRUE),_xlpm.av,COUNTIF(H36:J36,"À vérifier"),IF(_xlpm.ok&gt;=2,TRUE,IF(_xlpm.ok+_xlpm.av&gt;=2,"À vérifier",FALSE))))))</f>
        <v>1</v>
      </c>
      <c r="H36" s="13" t="b">
        <v>0</v>
      </c>
      <c r="I36" s="13" t="b">
        <v>1</v>
      </c>
      <c r="J36" s="13" t="b">
        <v>1</v>
      </c>
      <c r="K36" s="13" t="str">
        <f t="shared" si="0"/>
        <v>-</v>
      </c>
      <c r="L36" s="21" t="s">
        <v>94</v>
      </c>
      <c r="M36" s="12" t="s">
        <v>221</v>
      </c>
      <c r="N36" s="14" t="s">
        <v>140</v>
      </c>
      <c r="O36" s="14" t="s">
        <v>259</v>
      </c>
      <c r="P36" s="14" t="s">
        <v>290</v>
      </c>
      <c r="Q36" s="17" t="s">
        <v>157</v>
      </c>
      <c r="R36" s="21" t="s">
        <v>54</v>
      </c>
      <c r="S36" s="11" t="str" cm="1">
        <f t="array" ref="S36">_xlfn.LET(_xlpm.n,IFERROR(_xlfn.TEXTAFTER(R36,"/",-1),""),_xlpm.c,{"%20","%27","%28","%29","%2C","%C3%A9","%C3%A8","%C3%AA","%C3%A0","%C3%A2","%C3%A7","%C3%B4","%C3%AE","%C3%B9","%C3%BB","%C3%89","%C2%BA","%C2%B0"},_xlpm.r,{"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Tract brèves de printemps.pdf</v>
      </c>
    </row>
    <row r="37" spans="1:19" ht="30" x14ac:dyDescent="0.25">
      <c r="A37" s="10">
        <v>2023</v>
      </c>
      <c r="B37" s="10" t="s">
        <v>14</v>
      </c>
      <c r="C37" s="10" t="s">
        <v>95</v>
      </c>
      <c r="D37" s="21" t="s">
        <v>189</v>
      </c>
      <c r="E37" s="11" t="str" cm="1">
        <f t="array" ref="E37">_xlfn.LET(_xlpm.n,IFERROR(_xlfn.TEXTAFTER(D37,"/",-1),""),_xlpm.c,{"%20","%27","%28","%29","%2C","%C3%A9","%C3%A8","%C3%AA","%C3%A0","%C3%A2","%C3%A7","%C3%B4","%C3%AE","%C3%B9","%C3%BB","%C3%89","%C2%BA","%C2%B0"},_xlpm.r,{"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aménagement temps travail NPS 2023.pdf</v>
      </c>
      <c r="F37" s="12">
        <v>44967</v>
      </c>
      <c r="G37" s="13" t="b">
        <f>IF(ISNUMBER(SEARCH("PV de désaccord",C37)),TRUE,IF(AND(B37="LAN",I37=TRUE),TRUE,IF(AND(B37="NPS",I37=TRUE,K37=TRUE),TRUE,_xlfn.LET(_xlpm.ok,COUNTIF(H37:J37,TRUE),_xlpm.av,COUNTIF(H37:J37,"À vérifier"),IF(_xlpm.ok&gt;=2,TRUE,IF(_xlpm.ok+_xlpm.av&gt;=2,"À vérifier",FALSE))))))</f>
        <v>1</v>
      </c>
      <c r="H37" s="13" t="b">
        <v>1</v>
      </c>
      <c r="I37" s="13" t="b">
        <v>1</v>
      </c>
      <c r="J37" s="13" t="b">
        <v>1</v>
      </c>
      <c r="K37" s="13" t="b">
        <f t="shared" si="0"/>
        <v>1</v>
      </c>
      <c r="L37" s="21" t="s">
        <v>96</v>
      </c>
      <c r="M37" s="12" t="s">
        <v>216</v>
      </c>
      <c r="N37" s="14" t="s">
        <v>142</v>
      </c>
      <c r="O37" s="14" t="s">
        <v>239</v>
      </c>
      <c r="P37" s="19" t="s">
        <v>291</v>
      </c>
      <c r="Q37" s="17" t="s">
        <v>8</v>
      </c>
      <c r="R37" s="21" t="s">
        <v>8</v>
      </c>
      <c r="S37" s="11" t="str" cm="1">
        <f t="array" ref="S37">_xlfn.LET(_xlpm.n,IFERROR(_xlfn.TEXTAFTER(R37,"/",-1),""),_xlpm.c,{"%20","%27","%28","%29","%2C","%C3%A9","%C3%A8","%C3%AA","%C3%A0","%C3%A2","%C3%A7","%C3%B4","%C3%AE","%C3%B9","%C3%BB","%C3%89","%C2%BA","%C2%B0"},_xlpm.r,{"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  <row r="38" spans="1:19" ht="30" x14ac:dyDescent="0.25">
      <c r="A38" s="10">
        <v>2023</v>
      </c>
      <c r="B38" s="10" t="s">
        <v>188</v>
      </c>
      <c r="C38" s="10" t="s">
        <v>167</v>
      </c>
      <c r="D38" s="21" t="s">
        <v>177</v>
      </c>
      <c r="E38" s="11" t="str" cm="1">
        <f t="array" ref="E38">_xlfn.LET(_xlpm.n,IFERROR(_xlfn.TEXTAFTER(D38,"/",-1),""),_xlpm.c,{"%20","%27","%28","%29","%2C","%C3%A9","%C3%A8","%C3%AA","%C3%A0","%C3%A2","%C3%A7","%C3%B4","%C3%AE","%C3%B9","%C3%BB","%C3%89","%C2%BA","%C2%B0"},_xlpm.r,{"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nombre délégués syndicaux Lannion 24 janvier 2023.pdf</v>
      </c>
      <c r="F38" s="12">
        <f>DATE(2023,1,24)</f>
        <v>44950</v>
      </c>
      <c r="G38" s="13" t="b">
        <f>IF(ISNUMBER(SEARCH("PV de désaccord",C38)),TRUE,IF(AND(B38="LAN",I38=TRUE),TRUE,IF(AND(B38="NPS",I38=TRUE,K38=TRUE),TRUE,_xlfn.LET(_xlpm.ok,COUNTIF(H38:J38,TRUE),_xlpm.av,COUNTIF(H38:J38,"À vérifier"),IF(_xlpm.ok&gt;=2,TRUE,IF(_xlpm.ok+_xlpm.av&gt;=2,"À vérifier",FALSE))))))</f>
        <v>1</v>
      </c>
      <c r="H38" s="13" t="b">
        <v>1</v>
      </c>
      <c r="I38" s="13" t="b">
        <v>1</v>
      </c>
      <c r="J38" s="13" t="b">
        <v>1</v>
      </c>
      <c r="K38" s="13" t="str">
        <f t="shared" si="0"/>
        <v>-</v>
      </c>
      <c r="L38" s="21" t="s">
        <v>201</v>
      </c>
      <c r="M38" s="12" t="s">
        <v>222</v>
      </c>
      <c r="N38" s="14" t="s">
        <v>187</v>
      </c>
      <c r="O38" s="14"/>
      <c r="P38" s="14" t="s">
        <v>292</v>
      </c>
      <c r="Q38" s="17"/>
      <c r="R38" s="21"/>
      <c r="S38" s="11"/>
    </row>
    <row r="39" spans="1:19" ht="30" x14ac:dyDescent="0.25">
      <c r="A39" s="10">
        <v>2023</v>
      </c>
      <c r="B39" s="10" t="s">
        <v>14</v>
      </c>
      <c r="C39" s="10" t="s">
        <v>166</v>
      </c>
      <c r="D39" s="21" t="s">
        <v>172</v>
      </c>
      <c r="E39" s="11" t="str" cm="1">
        <f t="array" ref="E39">_xlfn.LET(_xlpm.n,IFERROR(_xlfn.TEXTAFTER(D39,"/",-1),""),_xlpm.c,{"%20","%27","%28","%29","%2C","%C3%A9","%C3%A8","%C3%AA","%C3%A0","%C3%A2","%C3%A7","%C3%B4","%C3%AE","%C3%B9","%C3%BB","%C3%89","%C2%BA","%C2%B0"},_xlpm.r,{"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augmentation nombre délégués syndicaux NPS 2023.pdf</v>
      </c>
      <c r="F39" s="12">
        <f>DATE(2023,1,23)</f>
        <v>44949</v>
      </c>
      <c r="G39" s="13" t="b">
        <f>IF(ISNUMBER(SEARCH("PV de désaccord",C39)),TRUE,IF(AND(B39="LAN",I39=TRUE),TRUE,IF(AND(B39="NPS",I39=TRUE,K39=TRUE),TRUE,_xlfn.LET(_xlpm.ok,COUNTIF(H39:J39,TRUE),_xlpm.av,COUNTIF(H39:J39,"À vérifier"),IF(_xlpm.ok&gt;=2,TRUE,IF(_xlpm.ok+_xlpm.av&gt;=2,"À vérifier",FALSE))))))</f>
        <v>1</v>
      </c>
      <c r="H39" s="13" t="b">
        <v>1</v>
      </c>
      <c r="I39" s="13" t="b">
        <v>1</v>
      </c>
      <c r="J39" s="13" t="b">
        <v>1</v>
      </c>
      <c r="K39" s="13" t="b">
        <f t="shared" si="0"/>
        <v>1</v>
      </c>
      <c r="L39" s="21" t="s">
        <v>200</v>
      </c>
      <c r="M39" s="12" t="s">
        <v>223</v>
      </c>
      <c r="N39" s="14" t="s">
        <v>186</v>
      </c>
      <c r="O39" s="14" t="s">
        <v>241</v>
      </c>
      <c r="P39" s="17" t="s">
        <v>293</v>
      </c>
      <c r="Q39" s="17"/>
      <c r="R39" s="21"/>
      <c r="S39" s="11"/>
    </row>
    <row r="40" spans="1:19" ht="30" x14ac:dyDescent="0.25">
      <c r="A40" s="10">
        <v>2023</v>
      </c>
      <c r="B40" s="10" t="s">
        <v>13</v>
      </c>
      <c r="C40" s="10" t="s">
        <v>24</v>
      </c>
      <c r="D40" s="21" t="s">
        <v>35</v>
      </c>
      <c r="E40" s="11" t="str" cm="1">
        <f t="array" ref="E40">_xlfn.LET(_xlpm.n,IFERROR(_xlfn.TEXTAFTER(D40,"/",-1),""),_xlpm.c,{"%20","%27","%28","%29","%2C","%C3%A9","%C3%A8","%C3%AA","%C3%A0","%C3%A2","%C3%A7","%C3%B4","%C3%AE","%C3%B9","%C3%BB","%C3%89","%C2%BA","%C2%B0"},_xlpm.r,{"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>Accord remboursement santé - 2023.pdf</v>
      </c>
      <c r="F40" s="12">
        <f>DATE(2022,11,17)</f>
        <v>44882</v>
      </c>
      <c r="G40" s="13" t="b">
        <f>IF(ISNUMBER(SEARCH("PV de désaccord",C40)),TRUE,IF(AND(B40="LAN",I40=TRUE),TRUE,IF(AND(B40="NPS",I40=TRUE,K40=TRUE),TRUE,_xlfn.LET(_xlpm.ok,COUNTIF(H40:J40,TRUE),_xlpm.av,COUNTIF(H40:J40,"À vérifier"),IF(_xlpm.ok&gt;=2,TRUE,IF(_xlpm.ok+_xlpm.av&gt;=2,"À vérifier",FALSE))))))</f>
        <v>1</v>
      </c>
      <c r="H40" s="13" t="b">
        <v>1</v>
      </c>
      <c r="I40" s="13" t="b">
        <v>1</v>
      </c>
      <c r="J40" s="13" t="b">
        <v>1</v>
      </c>
      <c r="K40" s="13" t="str">
        <f t="shared" si="0"/>
        <v>-</v>
      </c>
      <c r="L40" s="21" t="s">
        <v>85</v>
      </c>
      <c r="M40" s="12" t="s">
        <v>89</v>
      </c>
      <c r="N40" s="14" t="s">
        <v>141</v>
      </c>
      <c r="O40" s="14" t="s">
        <v>240</v>
      </c>
      <c r="P40" s="17" t="s">
        <v>294</v>
      </c>
      <c r="Q40" s="17" t="s">
        <v>8</v>
      </c>
      <c r="R40" s="21" t="s">
        <v>8</v>
      </c>
      <c r="S40" s="11" t="str" cm="1">
        <f t="array" ref="S40">_xlfn.LET(_xlpm.n,IFERROR(_xlfn.TEXTAFTER(R40,"/",-1),""),_xlpm.c,{"%20","%27","%28","%29","%2C","%C3%A9","%C3%A8","%C3%AA","%C3%A0","%C3%A2","%C3%A7","%C3%B4","%C3%AE","%C3%B9","%C3%BB","%C3%89","%C2%BA","%C2%B0"},_xlpm.r,{" ","'","(",")",",","é","è","ê","à","â","ç","ô","î","ù","û","É","º","°"},_xlfn.REDUCE(_xlpm.n,_xlfn.SEQUENCE(COLUMNS(_xlpm.c)),_xlfn.LAMBDA(_xlpm.a,_xlpm.i,SUBSTITUTE(_xlpm.a,INDEX(_xlpm.c,_xlpm.i),INDEX(_xlpm.r,_xlpm.i)))))</f>
        <v/>
      </c>
    </row>
  </sheetData>
  <autoFilter ref="A1:S30" xr:uid="{00000000-0001-0000-0000-000000000000}"/>
  <sortState xmlns:xlrd2="http://schemas.microsoft.com/office/spreadsheetml/2017/richdata2" ref="A2:U40">
    <sortCondition descending="1" ref="F2:F40"/>
  </sortState>
  <conditionalFormatting sqref="Q3:R4 Q6:R8 Q28:R30 Q37:R37 Q32:R32 L2:R2 L33:R36 L9:R27 L32:O32 L31:R31 L37:O37 L28:O30 L6:O8 L5:R5 L3:O4 A2:K40 L38:R40">
    <cfRule type="containsText" dxfId="21" priority="19" operator="containsText" text="vérifier">
      <formula>NOT(ISERROR(SEARCH("vérifier",A2)))</formula>
    </cfRule>
    <cfRule type="containsText" dxfId="20" priority="21" operator="containsText" text="préciser">
      <formula>NOT(ISERROR(SEARCH("préciser",A2)))</formula>
    </cfRule>
  </conditionalFormatting>
  <conditionalFormatting sqref="G2:L30">
    <cfRule type="expression" dxfId="19" priority="34">
      <formula>G2=TRUE</formula>
    </cfRule>
    <cfRule type="expression" dxfId="18" priority="35">
      <formula>G2=FALSE</formula>
    </cfRule>
  </conditionalFormatting>
  <conditionalFormatting sqref="Q3:R4 Q6:R8 Q28:R30 Q37:R37 Q32:R32 L2:R2 L33:R36 L9:R27 L32:O32 L31:R31 L37:O37 L28:O30 L6:O8 L5:R5 L3:O4 A2:K40 L38:R40">
    <cfRule type="containsText" dxfId="17" priority="39" operator="containsText" text="retrouver">
      <formula>NOT(ISERROR(SEARCH("retrouver",A2)))</formula>
    </cfRule>
  </conditionalFormatting>
  <conditionalFormatting sqref="D2:D40">
    <cfRule type="expression" dxfId="16" priority="40">
      <formula>LEN(TRIM($D2))=0</formula>
    </cfRule>
  </conditionalFormatting>
  <conditionalFormatting sqref="D2:D40">
    <cfRule type="containsText" dxfId="15" priority="41" operator="containsText" text="CGT39">
      <formula>NOT(ISERROR(SEARCH("CGT39",D2)))</formula>
    </cfRule>
  </conditionalFormatting>
  <conditionalFormatting sqref="D2:D40">
    <cfRule type="containsText" dxfId="14" priority="42" operator="containsText" text="BDESE">
      <formula>NOT(ISERROR(SEARCH("BDESE",D2)))</formula>
    </cfRule>
  </conditionalFormatting>
  <conditionalFormatting sqref="D2:D40">
    <cfRule type="containsText" dxfId="13" priority="43" operator="containsText" text="HRLibrary">
      <formula>NOT(ISERROR(SEARCH("HRLibrary",D2)))</formula>
    </cfRule>
  </conditionalFormatting>
  <conditionalFormatting sqref="D2:D40">
    <cfRule type="containsText" dxfId="12" priority="44" operator="containsText" text="NokiaNetworksFrance">
      <formula>NOT(ISERROR(SEARCH("NokiaNetworksFrance",D2)))</formula>
    </cfRule>
  </conditionalFormatting>
  <conditionalFormatting sqref="S2:S40">
    <cfRule type="containsText" dxfId="11" priority="13" operator="containsText" text="vérifier">
      <formula>NOT(ISERROR(SEARCH("vérifier",S2)))</formula>
    </cfRule>
    <cfRule type="containsText" dxfId="10" priority="14" operator="containsText" text="préciser">
      <formula>NOT(ISERROR(SEARCH("préciser",S2)))</formula>
    </cfRule>
  </conditionalFormatting>
  <conditionalFormatting sqref="S2:S40">
    <cfRule type="containsText" dxfId="9" priority="15" operator="containsText" text="retrouver">
      <formula>NOT(ISERROR(SEARCH("retrouver",S2)))</formula>
    </cfRule>
  </conditionalFormatting>
  <conditionalFormatting sqref="L30">
    <cfRule type="containsText" dxfId="8" priority="5" operator="containsText" text="vérifier">
      <formula>NOT(ISERROR(SEARCH("vérifier",L30)))</formula>
    </cfRule>
    <cfRule type="containsText" dxfId="7" priority="6" operator="containsText" text="préciser">
      <formula>NOT(ISERROR(SEARCH("préciser",L30)))</formula>
    </cfRule>
  </conditionalFormatting>
  <conditionalFormatting sqref="L30">
    <cfRule type="expression" dxfId="6" priority="7">
      <formula>L30=TRUE</formula>
    </cfRule>
    <cfRule type="expression" dxfId="5" priority="8">
      <formula>L30=FALSE</formula>
    </cfRule>
  </conditionalFormatting>
  <conditionalFormatting sqref="L30">
    <cfRule type="containsText" dxfId="4" priority="9" operator="containsText" text="retrouver">
      <formula>NOT(ISERROR(SEARCH("retrouver",L30)))</formula>
    </cfRule>
  </conditionalFormatting>
  <conditionalFormatting sqref="G31:L40">
    <cfRule type="expression" dxfId="3" priority="3">
      <formula>G31=TRUE</formula>
    </cfRule>
    <cfRule type="expression" dxfId="2" priority="4">
      <formula>G31=FALSE</formula>
    </cfRule>
  </conditionalFormatting>
  <conditionalFormatting sqref="G35">
    <cfRule type="expression" dxfId="1" priority="1">
      <formula>G35=TRUE</formula>
    </cfRule>
    <cfRule type="expression" dxfId="0" priority="2">
      <formula>G35=FALSE</formula>
    </cfRule>
  </conditionalFormatting>
  <hyperlinks>
    <hyperlink ref="D3" r:id="rId1" display="https://nokia.sharepoint.com/:b:/r/sites/HRLibrary/Controlled%20Documents/HR%20Regions/Europe%20South/France/HR%20SOPs-Guidelines-Policy/Harmonized/Accords%20conventions%202026/2026%20protocole%20accord%20pr%C3%A9%C3%A9ctoral%20LANNION%20sign%C3%A9.pdf" xr:uid="{3DEBA908-9DCC-4C09-BA3C-6496E30376B0}"/>
    <hyperlink ref="D4" r:id="rId2" display="https://nokia.sharepoint.com/:b:/r/sites/HRLibrary/Controlled%20Documents/HR%20Regions/Europe%20South/France/HR%20SOPs-Guidelines-Policy/Harmonized/Accords%20conventions%202026/2026%20protocole%20accord%20pr%C3%A9%C3%A9lectoral%20sign%C3%A9.pdf" xr:uid="{6FEC8F61-3E2E-4A39-8E55-E655F5C98EDB}"/>
    <hyperlink ref="D19" r:id="rId3" display="https://nokia.sharepoint.com/:b:/r/sites/HRLibrary/Controlled%20Documents/HR%20Regions/Europe%20South/France/HR%20SOPs-Guidelines-Policy/Harmonized/Accords%20conventions%202025/Avenant%20Accord%20ARTT%20Lannion%2020%2003%202025.pdf?d=w41b9a9b002484645baa30299d81f4cd9&amp;csf=1&amp;web=1&amp;e=CBBk7K" xr:uid="{DDDE2E99-60A1-4C85-8E8A-A082CBA4D9C2}"/>
    <hyperlink ref="D20" r:id="rId4" display="https://nokia.sharepoint.com/:b:/r/sites/HRLibrary/Controlled%20Documents/HR%20Regions/Europe%20South/France/HR%20SOPs-Guidelines-Policy/Harmonized/Accords%20conventions%202025/Avenant%20Accord%20Horaire%20Variable%20Lannion%2020%2003%202025.pdf?d=w0708203cc5384f55a34496c60e3be8c7&amp;csf=1&amp;web=1&amp;e=HcRWx3" xr:uid="{AD1B6036-A480-400F-BCAB-0625286A7D7B}"/>
    <hyperlink ref="D16" r:id="rId5" display="https://nokia.sharepoint.com/:b:/r/sites/HRLibrary/Controlled%20Documents/HR%20Regions/Europe%20South/France/HR%20SOPs-Guidelines-Policy/Harmonized/Accords%20conventions%202025/Avenant%20frais%20de%20sant%C3%A9%20(9%20avril%202025).pdf?d=w3ab9353536cb49678646454b636bb215&amp;csf=1&amp;web=1&amp;e=HFDFvw" xr:uid="{DB05645A-2A6B-4BAF-9B88-01F85B98CAEE}"/>
    <hyperlink ref="D7" r:id="rId6" display="https://nokia.sharepoint.com/:b:/r/sites/HRLibrary/Controlled%20Documents/HR%20Regions/Europe%20South/France/HR%20SOPs-Guidelines-Policy/Harmonized/Accords%20conventions%202026/Accord%20Etablissement%20Prorogation%20des%20Mandats%20CSE-E%20Lannion.pdf?d=w43ddbf8e1efb416daa39a1aba4d23da2&amp;csf=1&amp;web=1&amp;e=Awv1cc" xr:uid="{CC014E71-AD12-4209-901B-BCFE08D7C6AF}"/>
    <hyperlink ref="D30" r:id="rId7" display="https://nokia.sharepoint.com/:b:/r/sites/HRLibrary/Controlled%20Documents/HR%20Regions/Europe%20South/France/HR%20SOPs-Guidelines-Policy/Harmonized/Accords%20conventions%202024/Accord%20collectif%20mise%20en%20place%20CCN.pdf" xr:uid="{65FF0241-4E2B-41E4-9A3A-2A553B2FC4F7}"/>
    <hyperlink ref="D28" r:id="rId8" display="https://nokia.sharepoint.com/:b:/r/sites/HRLibrary/Controlled%20Documents/HR%20Regions/Europe%20South/France/HR%20SOPs-Guidelines-Policy/Harmonized/Accords%20conventions%202024/Accord%20Etablissement%20NNF%20Lannion%20Mise%20en%20place%20accord%20cadre%20nouvelle%20CCN%20du%207%20mars%202024.pdf" xr:uid="{EAC5F39B-7E23-4F8C-A956-D1A23AD59037}"/>
    <hyperlink ref="D39" r:id="rId9" display="https://nokia.sharepoint.com/:b:/r/sites/HRLibrary/Controlled%20Documents/HR%20Regions/Europe%20South/France/HR%20SOPs-Guidelines-Policy/Harmonized/Accords%20conventions%202023/Accord%20augmentation%20nombre%20d%C3%A9l%C3%A9gu%C3%A9s%20syndicaux%20NPS%202023.pdf" xr:uid="{7AAC36A3-6D0B-4195-B33D-3DBFC7518375}"/>
    <hyperlink ref="D38" r:id="rId10" display="https://nokia.sharepoint.com/:b:/r/sites/HRLibrary/Controlled%20Documents/HR%20Regions/Europe%20South/France/HR%20SOPs-Guidelines-Policy/Harmonized/Accords%20conventions%202023/Accord%20nombre%20d%C3%A9l%C3%A9gu%C3%A9s%20syndicaux%20Lannion%2024%20janvier%202023.pdf?d=w7f99dd8365c6418eb22acb63a8ac44b2&amp;csf=1&amp;web=1&amp;e=nOfza5" xr:uid="{F1E97C35-916D-446B-B83F-9D8E27B48A78}"/>
    <hyperlink ref="D37" r:id="rId11" xr:uid="{3CA5F90A-37A0-47B4-A593-00FA1CC25A3A}"/>
    <hyperlink ref="D22" r:id="rId12" xr:uid="{953BDEB9-68F0-45C1-BEE6-C570830B2425}"/>
    <hyperlink ref="L19" r:id="rId13" xr:uid="{9553D652-6925-4255-8B66-56354E6BF3B1}"/>
    <hyperlink ref="L20" r:id="rId14" xr:uid="{0B7E48E3-FDDE-4B3A-A09C-DE4FFC8D13AF}"/>
    <hyperlink ref="D24" r:id="rId15" xr:uid="{35FF18B8-C1F8-4ACB-AC18-C9B1639EB410}"/>
    <hyperlink ref="L14" r:id="rId16" xr:uid="{BA92569F-D437-4A24-9A1C-EDBCBE27EBE4}"/>
  </hyperlinks>
  <pageMargins left="0.7" right="0.7" top="0.75" bottom="0.75" header="0.3" footer="0.3"/>
  <pageSetup orientation="portrait" r:id="rId17"/>
  <headerFooter>
    <oddFooter>&amp;C_x000D_&amp;1#&amp;"Aptos"&amp;8&amp;K000000 Nokia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E1360-D0DF-42E4-8989-040F8979EEC8}">
  <dimension ref="A1"/>
  <sheetViews>
    <sheetView workbookViewId="0">
      <pane ySplit="1" topLeftCell="A3" activePane="bottomLeft" state="frozen"/>
      <selection pane="bottomLeft" activeCell="B55" sqref="B55"/>
    </sheetView>
  </sheetViews>
  <sheetFormatPr defaultColWidth="12.140625" defaultRowHeight="15" customHeight="1" x14ac:dyDescent="0.25"/>
  <sheetData/>
  <pageMargins left="0.7" right="0.7" top="0.75" bottom="0.75" header="0.3" footer="0.3"/>
  <headerFooter>
    <oddFooter>&amp;C_x000D_&amp;1#&amp;"Aptos"&amp;8&amp;K000000 Nokia internal use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71c5aaf6-e6ce-465b-b873-5148d2a4c105">AUIRPTAIMRO3-1066683228-25558</_dlc_DocId>
    <HideFromDelve xmlns="71c5aaf6-e6ce-465b-b873-5148d2a4c105">false</HideFromDelve>
    <_dlc_DocIdUrl xmlns="71c5aaf6-e6ce-465b-b873-5148d2a4c105">
      <Url>https://nokia.sharepoint.com/sites/CGT39/_layouts/15/DocIdRedir.aspx?ID=AUIRPTAIMRO3-1066683228-25558</Url>
      <Description>AUIRPTAIMRO3-1066683228-25558</Description>
    </_dlc_DocIdUrl>
    <lcf76f155ced4ddcb4097134ff3c332f xmlns="4a0c25b5-f40f-4aa1-8c63-969f2512d63e">
      <Terms xmlns="http://schemas.microsoft.com/office/infopath/2007/PartnerControls"/>
    </lcf76f155ced4ddcb4097134ff3c332f>
    <TaxCatchAll xmlns="71c5aaf6-e6ce-465b-b873-5148d2a4c10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C9E45C7454FD54C9F3832CA2EC2299C" ma:contentTypeVersion="18" ma:contentTypeDescription="Create a new document." ma:contentTypeScope="" ma:versionID="598b0ce14474b8a06003600b576ad2b7">
  <xsd:schema xmlns:xsd="http://www.w3.org/2001/XMLSchema" xmlns:xs="http://www.w3.org/2001/XMLSchema" xmlns:p="http://schemas.microsoft.com/office/2006/metadata/properties" xmlns:ns2="71c5aaf6-e6ce-465b-b873-5148d2a4c105" xmlns:ns3="4a0c25b5-f40f-4aa1-8c63-969f2512d63e" xmlns:ns4="98344022-9d6c-42ca-8763-b68a110aeabc" targetNamespace="http://schemas.microsoft.com/office/2006/metadata/properties" ma:root="true" ma:fieldsID="3f3517c15821bb310180c621d8d765fa" ns2:_="" ns3:_="" ns4:_="">
    <xsd:import namespace="71c5aaf6-e6ce-465b-b873-5148d2a4c105"/>
    <xsd:import namespace="4a0c25b5-f40f-4aa1-8c63-969f2512d63e"/>
    <xsd:import namespace="98344022-9d6c-42ca-8763-b68a110aeabc"/>
    <xsd:element name="properties">
      <xsd:complexType>
        <xsd:sequence>
          <xsd:element name="documentManagement">
            <xsd:complexType>
              <xsd:all>
                <xsd:element ref="ns2:HideFromDelve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Location" minOccurs="0"/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HideFromDelve" ma:index="8" nillable="true" ma:displayName="HideFromDelve" ma:default="0" ma:internalName="HideFromDelve">
      <xsd:simpleType>
        <xsd:restriction base="dms:Boolean"/>
      </xsd:simpleType>
    </xsd:element>
    <xsd:element name="TaxCatchAll" ma:index="17" nillable="true" ma:displayName="Taxonomy Catch All Column" ma:hidden="true" ma:list="{b30ead92-cf25-42bf-9b42-06bca6111906}" ma:internalName="TaxCatchAll" ma:showField="CatchAllData" ma:web="98344022-9d6c-42ca-8763-b68a110aeab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4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25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26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0c25b5-f40f-4aa1-8c63-969f2512d6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4c87397-5fc1-491e-85e7-d6110dbe9c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344022-9d6c-42ca-8763-b68a110aeab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haredContentType xmlns="Microsoft.SharePoint.Taxonomy.ContentTypeSync" SourceId="34c87397-5fc1-491e-85e7-d6110dbe9cbd" ContentTypeId="0x0101" PreviousValue="false"/>
</file>

<file path=customXml/item5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0212693-9A04-49E1-8889-2B5CE217994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AC870E-20A6-413C-B639-D560014F1A64}">
  <ds:schemaRefs>
    <ds:schemaRef ds:uri="http://schemas.microsoft.com/office/2006/metadata/properties"/>
    <ds:schemaRef ds:uri="http://schemas.microsoft.com/office/infopath/2007/PartnerControls"/>
    <ds:schemaRef ds:uri="71c5aaf6-e6ce-465b-b873-5148d2a4c105"/>
    <ds:schemaRef ds:uri="4a0c25b5-f40f-4aa1-8c63-969f2512d63e"/>
  </ds:schemaRefs>
</ds:datastoreItem>
</file>

<file path=customXml/itemProps3.xml><?xml version="1.0" encoding="utf-8"?>
<ds:datastoreItem xmlns:ds="http://schemas.openxmlformats.org/officeDocument/2006/customXml" ds:itemID="{15AD6385-0C64-4344-9EFB-A995A9D73E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4a0c25b5-f40f-4aa1-8c63-969f2512d63e"/>
    <ds:schemaRef ds:uri="98344022-9d6c-42ca-8763-b68a110aeab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206293D-C2BD-4A18-87E2-049D4E2924C4}">
  <ds:schemaRefs>
    <ds:schemaRef ds:uri="Microsoft.SharePoint.Taxonomy.ContentTypeSync"/>
  </ds:schemaRefs>
</ds:datastoreItem>
</file>

<file path=customXml/itemProps5.xml><?xml version="1.0" encoding="utf-8"?>
<ds:datastoreItem xmlns:ds="http://schemas.openxmlformats.org/officeDocument/2006/customXml" ds:itemID="{4FEF070B-3FE9-48F0-B828-11286F698DFA}">
  <ds:schemaRefs>
    <ds:schemaRef ds:uri="http://schemas.microsoft.com/sharepoint/events"/>
  </ds:schemaRefs>
</ds:datastoreItem>
</file>

<file path=docMetadata/LabelInfo.xml><?xml version="1.0" encoding="utf-8"?>
<clbl:labelList xmlns:clbl="http://schemas.microsoft.com/office/2020/mipLabelMetadata">
  <clbl:label id="{4610b643-e0dc-49a3-bdd7-06f3c6cb789f}" enabled="1" method="Privileged" siteId="{5d471751-9675-428d-917b-70f44f9630b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accords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Yacine El Mghazli (Nokia)</dc:creator>
  <cp:lastModifiedBy>Yacine El Mghazli (Nokia)</cp:lastModifiedBy>
  <dcterms:created xsi:type="dcterms:W3CDTF">2015-06-05T18:17:20Z</dcterms:created>
  <dcterms:modified xsi:type="dcterms:W3CDTF">2026-10-05T15:56:05Z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0x0101005C9E45C7454FD54C9F3832CA2EC2299C</vt:lpwstr>
  </property>
  <property fmtid="{D5CDD505-2E9C-101B-9397-08002B2CF9AE}" pid="4" name="_dlc_DocIdItemGuid">
    <vt:lpwstr>67e393dc-766b-495d-8075-1c82914eb938</vt:lpwstr>
  </property>
</Properties>
</file>