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966" documentId="11_F25DC773A252ABDACC1048A741DB65945BDE58FA" xr6:coauthVersionLast="47" xr6:coauthVersionMax="47" xr10:uidLastSave="{2BD03F5D-C5EE-41B5-A2FA-37A92DF9513C}"/>
  <bookViews>
    <workbookView xWindow="-120" yWindow="-120" windowWidth="38640" windowHeight="21120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accords!$A$1:$O$29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29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<sst xmlns="http://schemas.openxmlformats.org/spreadsheetml/2006/main" count="289" uniqueCount="150">
  <si>
    <t>Accord ou négociation</t>
  </si>
  <si>
    <t>Lien</t>
  </si>
  <si>
    <t>CGT</t>
  </si>
  <si>
    <t>CFDT</t>
  </si>
  <si>
    <t>CFE-CGC</t>
  </si>
  <si>
    <t>Égalité professionnelle</t>
  </si>
  <si>
    <t>À vérifier</t>
  </si>
  <si>
    <t>RCC 2023</t>
  </si>
  <si>
    <t>Don de jours</t>
  </si>
  <si>
    <t>HRLibrary</t>
  </si>
  <si>
    <t>RCC 2024</t>
  </si>
  <si>
    <t>Aménagement du temps de travail</t>
  </si>
  <si>
    <t>Déplacements du personnel itinérant</t>
  </si>
  <si>
    <t>Lien à retrouver</t>
  </si>
  <si>
    <t>-</t>
  </si>
  <si>
    <t>année</t>
  </si>
  <si>
    <t>Contenu</t>
  </si>
  <si>
    <t>date R1</t>
  </si>
  <si>
    <t>date VF</t>
  </si>
  <si>
    <t>Position CGT</t>
  </si>
  <si>
    <t>tract</t>
  </si>
  <si>
    <t>Non signataire (détail du vote interne non retrouvé).</t>
  </si>
  <si>
    <t>Brèves de printemps (21/04/2023)</t>
  </si>
  <si>
    <t>Pas d'accord signé. Enveloppe appliquée unilatéralement : 3,21 % cadres, 5 % non-cadres. Contestation des nombreux 0 % d'augmentation.</t>
  </si>
  <si>
    <t>Signataire (logique pragmatique), avec alertes : pressions au volontariat, décimation des équipes, absence de garanties sur les activités en France, lien RCC / absence d'augmentation.</t>
  </si>
  <si>
    <t>Projet d'accord d'harmonisation des bonus (TI) — document de travail retrouvé.</t>
  </si>
  <si>
    <t>Signataire : soutien à l'élargissement, demande d'un seuil préservant les congés des aidants.</t>
  </si>
  <si>
    <t>Comité Groupe France (NNF, ASN, RFS). Dénoncé en 2025 (sortie d'ASN, fermeture de RFS).</t>
  </si>
  <si>
    <t>Signataire, pour maintenir une instance d'examen des résultats des sociétés françaises du groupe.</t>
  </si>
  <si>
    <t>Nouvelle réduction d'effectifs : 231 suppressions de postes en 2024.</t>
  </si>
  <si>
    <t>Signataire, puis bilan critique : délocalisations, perte de savoir-faire, charge de travail, RPS, externalisations.</t>
  </si>
  <si>
    <t>Contenu, dates et versions à retrouver.</t>
  </si>
  <si>
    <t>Signataire (confirmé par le bilan annuel).</t>
  </si>
  <si>
    <t>Calendrier et principales modifications à documenter.</t>
  </si>
  <si>
    <t>Signataire.</t>
  </si>
  <si>
    <t>Non signataire : désaccords sur la classification et la cotation.</t>
  </si>
  <si>
    <t>Calendrier, contenu final et signataires à retrouver.</t>
  </si>
  <si>
    <t>Non signataire.</t>
  </si>
  <si>
    <t>Non signataire : rapport de force jugé suffisant pour obtenir plus, refus de l'absence d'indexation, aide non renouvelable.</t>
  </si>
  <si>
    <t>Refus : perte d'environ 4 % de pouvoir d'achat depuis 2021, trop d'individuel, pas de mesure générale. Blocage des calendriers (~600 salariés).</t>
  </si>
  <si>
    <t>Contestation : pas d'engagement d'embauche ni de remplacement des départs, garanties insuffisantes sur les activités en France.</t>
  </si>
  <si>
    <t>Défavorable : épargne individualisée, rémunération « TTC », préférence pour un 13e mois cotisé. Vote non retrouvé.</t>
  </si>
  <si>
    <t>Défavorable : retraite par capitalisation, perte de cotisations sociales. Vote non retrouvé.</t>
  </si>
  <si>
    <t>Refus : suppressions massives, RCC répétitives, pas de garantie d'emploi ni d'embauche, pressions au volontariat.</t>
  </si>
  <si>
    <t>Non signataire de l'accord et de l'avenant.</t>
  </si>
  <si>
    <t>Refus de principe : « RCC 2026, c'est toujours non ».</t>
  </si>
  <si>
    <t>Refus : mesures insuffisantes et trop individualisées. Demande intersyndicale des statistiques réelles d'application.</t>
  </si>
  <si>
    <t>À vérifier : correction demandée (« salaire fixe » au lieu de « salaire de base »).</t>
  </si>
  <si>
    <t>Enveloppe d'environ 2 % (0,68 % après inflation). Signature CFDT isolée, non majoritaire.</t>
  </si>
  <si>
    <t>À vérifier : critique d'une négociation rapide, dernier round supprimé, pas de texte final avant le vote, risque de monétisation des congés.</t>
  </si>
  <si>
    <t>Signataire (confirmation par courriel).</t>
  </si>
  <si>
    <t>La restauration sort des activités sociales et culturelles des CSE d'établissement et passe à la Direction. Budget ASC et commission restauration revus.</t>
  </si>
  <si>
    <t>195 suppressions de postes ; volontariat à l'automne 2026 ; fin de carrière jusqu'à 250 000 €.</t>
  </si>
  <si>
    <t>Signataire (vote en AG extraordinaire du 21/05/2026).</t>
  </si>
  <si>
    <t>site</t>
  </si>
  <si>
    <t>NNF</t>
  </si>
  <si>
    <t>NPS</t>
  </si>
  <si>
    <t>BDESE</t>
  </si>
  <si>
    <t>Signataire (accord signé par toutes les OS représentatives).</t>
  </si>
  <si>
    <t>Handicap</t>
  </si>
  <si>
    <t>Avenant nº 1 – CSE (21 septembre 2018)</t>
  </si>
  <si>
    <t>Plan d'Epargne Retraite d'Entreprise Collectif (PERCOL)</t>
  </si>
  <si>
    <t>Plan d'Epargne Entreprise (PEE)</t>
  </si>
  <si>
    <t>CET</t>
  </si>
  <si>
    <t>GEPP – PV de désaccord</t>
  </si>
  <si>
    <t>Avenant télétravail (avril 2022)</t>
  </si>
  <si>
    <t>Partage de la valeur – PV de désaccord</t>
  </si>
  <si>
    <t>Nouvelle convention collective (accord-cadre)</t>
  </si>
  <si>
    <t>Intéressement 2025-2028</t>
  </si>
  <si>
    <t>Comité Groupe France (CGF)</t>
  </si>
  <si>
    <t>Harmonisation des bonus TI (projet)</t>
  </si>
  <si>
    <t>Substitution non-cadres</t>
  </si>
  <si>
    <t>Remboursement santé</t>
  </si>
  <si>
    <t>NAO 2026 – Procès-verbal d'accord</t>
  </si>
  <si>
    <t>NAO 2025 – PV de désaccord</t>
  </si>
  <si>
    <t>NAO 2023 – PV de désaccord</t>
  </si>
  <si>
    <t>RCC 2026 n°1 (signée en décembre 2025)</t>
  </si>
  <si>
    <t>RCC 2026 n°2</t>
  </si>
  <si>
    <t>Avenant à la RCC 2026 n°1</t>
  </si>
  <si>
    <t>Renouvellement de la politique handicap NNF (1er accord agréé en 2006 ; taux d'emploi &gt; 6 % depuis 2020). Rôles des acteurs : salariés, people managers, santé au travail, service social, Mission handicap. Négocié du 5 juin 2025 au 16 février 2026. Avancée principale : cotisations retraite prises en charge à 100 % en temps partiel choisi (TPC).</t>
  </si>
  <si>
    <t>Pas d'augmentation générale. Budget d'augmentations individuelles de 2,15 % des TTC, promotions incluses (1,85 % en cas de PV de désaccord), au 1er avril 2026. Maintien du Graduate Pay Program et de l'Unexplained Pay Gap. Primes de transport revalorisées : zone 1 à 9 €, zone 2 à 12 €, zone 3 à 60 €.</t>
  </si>
  <si>
    <t>Refonte du CET (réunions des 5 et 11 juin 2025) : ouverture après 6 mois de présence ; jour supplémentaire NPS/Lannion placé au CET ; liquidation monétaire partielle 1 fois par an (campagne de juin), 10 jours maximum ; 5e semaine de congés non monétisable.</t>
  </si>
  <si>
    <t>Exercices 2025, 2026 et 2027. Enveloppe maximale = 4 % de la masse salariale × [CA vs objectif plan France (50 %) + brevets et publications (25 %) + ratio mobilité durable (25 %)]. Répartition : 50 % selon la durée de présence, 50 % selon le salaire.</t>
  </si>
  <si>
    <t>Accord NPS signé le 19/12/2025 (réunions des 28/11 et 17/12/2025) : 1 JRTT/JRS collectif fixé au vendredi 15/05/2026 (pont de l'Ascension). S'appuie sur l'accord ARTT Paris-Saclay du 09/01/2001 (3 JRTT/JRS collectifs maximum).</t>
  </si>
  <si>
    <t>Avenant n°1 à la RCC du 19/12/2025, suite aux observations de l'inspection du travail (réunion du 14/01/2026) : modifie uniquement l'article 2.5 « Réponse apportée au salarié » (partie VI – départs volontaires).</t>
  </si>
  <si>
    <t>Accord majoritaire CFDT + CFE-CGC du 19/12/2025 : 421 départs volontaires maximum. Éligibilité selon les organisations au 19/11/2025 ; candidatures jusqu'au 28/02/2026 ; départs d'avril à fin juin 2026. Congé de mobilité, congé de fin de carrière (CFC) ; cabinets Adventia (Paris-Saclay) et Catalys (Lannion).</t>
  </si>
  <si>
    <t>PERCOL propre à NNF, conclu après la dénonciation (25/02/2025) de l'accord CGF du 15/03/2024 (sortie d'ASN au 01/01/2025, fermeture de RFS au 30/06/2025 ; NNF seule entité depuis le 01/07/2025). Gestion libre / pilotée, abondement, transfert collectif des avoirs (annexes : instruments de placement, PV de transfert).</t>
  </si>
  <si>
    <t>PEE propre à NNF (transformation du PEG après la dénonciation de l'accord CGF) ; sélection des fonds (fonds ISR) ; abondement concentré sur l'actionnariat Nokia.</t>
  </si>
  <si>
    <t>Pas d'accord majoritaire : PV de désaccord de la négociation GEPP, signé par la DRH et les DSC CFDT, CFE-CGC et CGT.</t>
  </si>
  <si>
    <t>Avenant à l'accord télétravail d'avril 2022 : réécriture de l'article 4.1 – aide à l'équipement de 300 € remboursée sur note de frais (magasin au choix, en une fois, dans les 6 mois) ; indemnité de télétravail portée de 4 € à 4,40 €, sans indexation automatique (revalorisation possible en NAO).</t>
  </si>
  <si>
    <t>Accord-cadre NPS de mise en conformité des accords existants avec la nouvelle convention collective de la métallurgie : « cadres » → groupes F à I, « non-cadres / mensuels » → groupes A à E. Durée indéterminée.</t>
  </si>
  <si>
    <t>Accord signé le 14/11/2024 (dispositif existant depuis octobre 2017) : don de jours élargi aux aidants d'un enfant, d'un partenaire de vie ou d'un parent ; évaluation par le service social ; plafonds de 20 ou 10 jours ; commission paritaire pour les cas hors cadre. Compteur &gt; 900 jours.</t>
  </si>
  <si>
    <t>Accord de substitution pour les non-cadres (groupes d'emploi A à E) lié à la nouvelle convention collective de la métallurgie. Signé par toutes les organisations syndicales représentatives.</t>
  </si>
  <si>
    <t>Accord signé par la CFDT et la CGT, validé par la DRIEETS le 01/08/2023 : jusqu'à 173 départs volontaires ; 1re période de volontariat jusqu'au 15/10/2023, 2e du 17/10 au 14/11/2023 ; congé de mobilité ; parcours retraite ; aides formation/création/mobilité ; cabinet Adventia ; commission de suivi ; pas de licenciement économique contraint.</t>
  </si>
  <si>
    <t>Accord majoritaire CFDT + CFE-CGC du 12/04/2023, pour 4 ans : référent égalité, « Groupe Égalité », objectif d'embauches de femmes aligné sur le groupe, 80 % des managers formés, revue de l'ASR, indicateurs de suivi (référence 2023).</t>
  </si>
  <si>
    <t>Mise à jour de la protection sociale santé (nouvelle convention collective, 01/01/2023) : canton La Boétie (49 entreprises) géré par Malakoff Humanis et piloté par une commission paritaire (CPT). Remplace l'accord de 1989 et ses avenants.</t>
  </si>
  <si>
    <t>Accord NPS 2025 sur l'aménagement du temps de travail : journée de solidarité fixée au lundi de Pentecôte 09/06/2025 (7 h).</t>
  </si>
  <si>
    <t>Source signatures</t>
  </si>
  <si>
    <t>Annonce officielle (publication Viva Engage : « signé par les organisations syndicales représentatives ») + vote AG CGT du 21/05/2026</t>
  </si>
  <si>
    <t>Signature électronique (courriel Direction du 09/07/2026 : passage en e-signature après retours positifs des DSC)</t>
  </si>
  <si>
    <t>Courriel de confirmation (CGT) ; PV d'accord NAO 2026 non lisible pour CFDT / CFE-CGC</t>
  </si>
  <si>
    <t>Courriel officiel Direction : avenant signé le 15/01/2026 « par les mêmes organisations syndicales représentatives majoritaires » (CFDT, CFE-CGC)</t>
  </si>
  <si>
    <t>PV de désaccord 2025 (texte) + courriel DSC CGT (P. Mulot) : pas d'accord majoritaire</t>
  </si>
  <si>
    <t>PV de désaccord NAO 2025 (texte) : accord du 20/03/2025 signé par la seule CFDT, non majoritaire</t>
  </si>
  <si>
    <t>Communication officielle Direction : « les organisations syndicales représentatives ont signé un nouvel accord d'intéressement »</t>
  </si>
  <si>
    <t>Bilan annuel CGT (CGT signataire) ; autres OS à vérifier</t>
  </si>
  <si>
    <t>Source à préciser</t>
  </si>
  <si>
    <t>Publication CFDT France (Viva Engage) : « signé par l'ensemble des organisations syndicales représentatives »</t>
  </si>
  <si>
    <t>Page officielle HR Services RCC 2023 : « signé par les Organisations Syndicales Représentatives CFDT et CGT »</t>
  </si>
  <si>
    <t>Texte officiel : préambule de l'avenant santé 2025 (« signé le 17/11/2022 par l'ensemble des OSR »)</t>
  </si>
  <si>
    <t>À vérifier (aucune source trouvée)</t>
  </si>
  <si>
    <t>Pour ceux qui restent (19/12/2025)</t>
  </si>
  <si>
    <t>N-ième RCC, 2ème de 2026 : retour sondage salariés (26/06/2026)</t>
  </si>
  <si>
    <t>Happy Thanksgiving chez Nokia : l'industrie française dindon de la farce (28/11/2025)</t>
  </si>
  <si>
    <t>Salaires +0,68 % : les négos ça ne marche pas, il faut se mobiliser (26/03/2025)</t>
  </si>
  <si>
    <t>Avenant Télétravail : signer pour 40 centimes ? Chronique d'une occasion manquée (19/02/2025)</t>
  </si>
  <si>
    <t>PDF signé « Accord_RCC_2026 » (Adobe Sign, 16/07/2026), p. 54 : signatures CFDT (S. Regnouard, R. Tutrel) et CFE-CGC (V. Gervais-Bazin) ; bloc CGT vide</t>
  </si>
  <si>
    <t>PDF signé (scan), p. 52 : signatures CFDT et CFE-CGC ; bloc CGT vide — confirmé par l'avenant et la décision DREETS (76,51 %)</t>
  </si>
  <si>
    <t>PDF signé (scan) du 24/02/2025, p. 7 : signatures CFDT et CFE-CGC ; bloc CGT vide (+ courriel Direction du 03/03/2025)</t>
  </si>
  <si>
    <t>PDF « Accord cadre NPS … 2024 signé » (scan, 29/02/2024), p. 6 : signatures CFDT, CFE-CGC, CGT et CFTC (accord d'établissement Paris-Saclay)</t>
  </si>
  <si>
    <t>PDF signé (scan, 08/12/2023), p. 4 : signatures CFDT, CFE-CGC, CGT et CFTC</t>
  </si>
  <si>
    <t>PDF « Accord don de jours 14 novembre 2024 signé » (scan), p. 11 : signatures CFDT, CFE-CGC et CGT</t>
  </si>
  <si>
    <t>PDF signé (scan, 13/04/2023), p. 20 : signatures CFDT (R. Tutrel) et CFE-CGC ; bloc CGT vide</t>
  </si>
  <si>
    <t>À vérifier : seule la version « mise à la signature » (non signée, 20/01/2025) a été trouvée</t>
  </si>
  <si>
    <t>Et toi alors, t'es coté combien ? (31/10/2023)</t>
  </si>
  <si>
    <t>Bilan de la RCC 2024 : Nokia a (encore) montré son vrai visage (05/11/2024)</t>
  </si>
  <si>
    <t>Rentrée 2023 – Volontariat RCC : des motifs de vigilance (18/09/2023)</t>
  </si>
  <si>
    <t>file name</t>
  </si>
  <si>
    <t>Accord_RCC_2026.pdf</t>
  </si>
  <si>
    <t>Avenant nº 1 à l'Accord CSE du 21 septembre 2018.pdf</t>
  </si>
  <si>
    <t>Accord collectif portant sur une Rupture Conventionnelle Collective (RCC) au sein de Nokia Networks France (compressé).pdf</t>
  </si>
  <si>
    <t>Accord d'entreprise relatif au Plan d'Epargne Retraite d'Entreprise Collectif PERCOL (16 décembre 2025).pdf</t>
  </si>
  <si>
    <t>Accord d'entreprise relatif au Plan d'Epargne Entreprise au sein de Nokia Networks France (16 décembre 2025).pdf</t>
  </si>
  <si>
    <t>Accord CET (24 juillet 2025).pdf</t>
  </si>
  <si>
    <t>GEPP - PV de désaccord 2025 VF-REVUE SUITE REMARQUES.pdf</t>
  </si>
  <si>
    <t>Procès verbal NAO (désaccord) 2025 (27 mars 2025).pdf</t>
  </si>
  <si>
    <t>PV désaccord Partage de la valeur VS.pdf</t>
  </si>
  <si>
    <t>Accord cadre NPS nouvelle convention collective- 2024 signé.pdf</t>
  </si>
  <si>
    <t>Accord d'intéressement 2025-2028.pdf</t>
  </si>
  <si>
    <t>Accord aménagement temps travail NPS 2024.pdf</t>
  </si>
  <si>
    <t>Accord don de jours 14 novembre 2024.pdf</t>
  </si>
  <si>
    <t>Draft accord harmonisation TI 2023.pdf</t>
  </si>
  <si>
    <t>NAO 2023 - PV désaccord.pdf</t>
  </si>
  <si>
    <t>Accord égalité professionnelle.pdf</t>
  </si>
  <si>
    <t>cgt39</t>
  </si>
  <si>
    <t>NAO_2026_Procès_verbal_d_accord_24 janvier_2026.pdf</t>
  </si>
  <si>
    <t>Accord RCC 2024 (19 avril 2024).pdf</t>
  </si>
  <si>
    <t>Accord de substitution non cadres - 30 novembre 2023.pdf</t>
  </si>
  <si>
    <t>Validité</t>
  </si>
  <si>
    <t>preview 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</si>
</sst>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4" xfId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4" xfId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5" fillId="0" borderId="4" xfId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HRLibrary/Controlled%20Documents/HR%20Regions/Europe%20South/France/HR%20SOPs-Guidelines-Policy/Harmonized/Accords%20conventions%202025/Accord%20CET%20(24%20juillet%202025).pdf" TargetMode="External"/><Relationship Id="rId13" Type="http://schemas.openxmlformats.org/officeDocument/2006/relationships/hyperlink" Target="../../../HRLibrary/_layouts/15/DocIdRedir.aspx?ID=BTI3POTITA3Q-1865654459-247229" TargetMode="External"/><Relationship Id="rId18" Type="http://schemas.openxmlformats.org/officeDocument/2006/relationships/hyperlink" Target="../../../HRLibrary/Controlled%20Documents/HR%20Regions/Europe%20South/France/HR%20SOPs-Guidelines-Policy/Harmonized/Accords%20conventions%202025/Accord%20d%27int%C3%A9ressement%202025-2028.pdf" TargetMode="External"/><Relationship Id="rId26" Type="http://schemas.openxmlformats.org/officeDocument/2006/relationships/hyperlink" Target="../salari&#233;s/tracts%20diffus&#233;s/2024/tract_bilan_rcc24_v4.pdf" TargetMode="External"/><Relationship Id="rId3" Type="http://schemas.openxmlformats.org/officeDocument/2006/relationships/hyperlink" Target="../../../HRLibrary/Controlled%20Documents/HR%20Regions/Europe%20South/France/HR%20SOPs-Guidelines-Policy/Harmonized/Accords%20conventions%202024/Accord%20don%20de%20jours%2014%20novembre%202024.pdf?web=1" TargetMode="External"/><Relationship Id="rId21" Type="http://schemas.openxmlformats.org/officeDocument/2006/relationships/hyperlink" Target="../salari&#233;s/tracts%20diffus&#233;s/2025/tract_pour_ceux_qui_restent.pdf" TargetMode="External"/><Relationship Id="rId7" Type="http://schemas.openxmlformats.org/officeDocument/2006/relationships/hyperlink" Target="../../../HRLibrary/Controlled%20Documents/HR%20Regions/Europe%20South/France/HR%20SOPs-Guidelines-Policy/Harmonized/Accords%20conventions%202024/Accord%20cadre%20NPS%20nouvelle%20convention%20collective-%202024%20sign%C3%A9.pdf" TargetMode="External"/><Relationship Id="rId12" Type="http://schemas.openxmlformats.org/officeDocument/2006/relationships/hyperlink" Target="../../../HRLibrary/_layouts/15/viewer.aspx?sourcedoc=%7b78e118ec-38ae-4539-8422-29417de73e69%7d" TargetMode="External"/><Relationship Id="rId17" Type="http://schemas.openxmlformats.org/officeDocument/2006/relationships/hyperlink" Target="../../../HRLibrary/_layouts/15/DocIdRedir.aspx?ID=BTI3POTITA3Q-1865654459-245115" TargetMode="External"/><Relationship Id="rId25" Type="http://schemas.openxmlformats.org/officeDocument/2006/relationships/hyperlink" Target="../salari&#233;s/tracts%20diffus&#233;s/2023/ncc%20cotation%203.pdf" TargetMode="External"/><Relationship Id="rId2" Type="http://schemas.openxmlformats.org/officeDocument/2006/relationships/hyperlink" Target="../../../HRLibrary/_layouts/15/DocIdRedir.aspx?ID=BTI3POTITA3Q-1865654459-241444" TargetMode="External"/><Relationship Id="rId16" Type="http://schemas.openxmlformats.org/officeDocument/2006/relationships/hyperlink" Target="../../../BDESENNF-Centrale/_layouts/15/DocIdRedir.aspx?ID=AAIQPNNI5BUR-1489538130-830" TargetMode="External"/><Relationship Id="rId20" Type="http://schemas.openxmlformats.org/officeDocument/2006/relationships/hyperlink" Target="../salari&#233;s/tracts%20diffus&#233;s/2026/2026_06_TRACT-RetourSondageRCC2026-2.pdf" TargetMode="External"/><Relationship Id="rId29" Type="http://schemas.openxmlformats.org/officeDocument/2006/relationships/hyperlink" Target="../salari&#233;s/tracts%20diffus&#233;s/2023/Tract%20br&#232;ves%20de%20printemps.pdf" TargetMode="External"/><Relationship Id="rId1" Type="http://schemas.openxmlformats.org/officeDocument/2006/relationships/hyperlink" Target="../../../HRLibrary/_layouts/15/DocIdRedir.aspx?ID=BTI3POTITA3Q-1865654459-240670" TargetMode="External"/><Relationship Id="rId6" Type="http://schemas.openxmlformats.org/officeDocument/2006/relationships/hyperlink" Target="../../../HRLibrary/Controlled%20Documents/HR%20Regions/Europe%20South/France/HR%20SOPs-Guidelines-Policy/Harmonized/Accords%20conventions%202024/Accord%20am%C3%A9nagement%20temps%20travail%20NPS%202024.pdf" TargetMode="External"/><Relationship Id="rId11" Type="http://schemas.openxmlformats.org/officeDocument/2006/relationships/hyperlink" Target="../../../HRLibrary/Controlled%20Documents/HR%20Regions/Europe%20South/France/Plan-de-transformation/RCC%202025/Accord%20collectif%20portant%20sur%20une%20Rupture%20Conventionnelle%20Collective%20(RCC)%20au%20sein%20de%20Nokia%20Networks%20France%20(compress%c3%a9).pdf?web=1" TargetMode="External"/><Relationship Id="rId24" Type="http://schemas.openxmlformats.org/officeDocument/2006/relationships/hyperlink" Target="../salari&#233;s/tracts%20diffus&#233;s/2025/tract-avenant-TL-v2.pdf" TargetMode="External"/><Relationship Id="rId5" Type="http://schemas.openxmlformats.org/officeDocument/2006/relationships/hyperlink" Target="../../../HRLibrary/_layouts/15/DocIdRedir.aspx?ID=BTI3POTITA3Q-1865654459-242162" TargetMode="External"/><Relationship Id="rId15" Type="http://schemas.openxmlformats.org/officeDocument/2006/relationships/hyperlink" Target="../../..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" TargetMode="External"/><Relationship Id="rId23" Type="http://schemas.openxmlformats.org/officeDocument/2006/relationships/hyperlink" Target="../salari&#233;s/tracts%20diffus&#233;s/2025/tract-salaires-2025.pdf" TargetMode="External"/><Relationship Id="rId28" Type="http://schemas.openxmlformats.org/officeDocument/2006/relationships/hyperlink" Target="../salari&#233;s/tracts%20diffus&#233;s/2023/Tract%20br&#232;ves%20de%20printemps.pdf" TargetMode="External"/><Relationship Id="rId10" Type="http://schemas.openxmlformats.org/officeDocument/2006/relationships/hyperlink" Target="../../../HRLibrary/Controlled%20Documents/HR%20Regions/Europe%20South/France/HR%20SOPs-Guidelines-Policy/Harmonized/Accords%20conventions%202025/Accord%20d'entreprise%20relatif%20au%20Plan%20d'Epargne%20Retraite%20d'Entreprise%20Collectif%20PERCOL%20(16%20d%c3%a9cembre%202025).pdf?web=1" TargetMode="External"/><Relationship Id="rId19" Type="http://schemas.openxmlformats.org/officeDocument/2006/relationships/hyperlink" Target="../../../HRLibrary/_layouts/15/DocIdRedir.aspx?ID=BTI3POTITA3Q-1865654459-237880" TargetMode="External"/><Relationship Id="rId4" Type="http://schemas.openxmlformats.org/officeDocument/2006/relationships/hyperlink" Target="../../../HRLibrary/_layouts/15/DocIdRedir.aspx?ID=BTI3POTITA3Q-1865654459-242235" TargetMode="External"/><Relationship Id="rId9" Type="http://schemas.openxmlformats.org/officeDocument/2006/relationships/hyperlink" Target="../../..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?web=1" TargetMode="External"/><Relationship Id="rId14" Type="http://schemas.openxmlformats.org/officeDocument/2006/relationships/hyperlink" Target="../../../HRLibrary/Controlled%20Documents/HR%20Regions/Europe%20South/France/HR%20SOPs-Guidelines-Policy/Harmonized/Accords%20conventions%202026/Avenant%20n%c2%ba%201%20%c3%a0%20l'Accord%20CSE%20du%2021%20septembre%202018.pdf?web=1" TargetMode="External"/><Relationship Id="rId22" Type="http://schemas.openxmlformats.org/officeDocument/2006/relationships/hyperlink" Target="../salari&#233;s/tracts%20diffus&#233;s/2025/tract_rcc_2026.pdf" TargetMode="External"/><Relationship Id="rId27" Type="http://schemas.openxmlformats.org/officeDocument/2006/relationships/hyperlink" Target="../salari&#233;s/tracts%20diffus&#233;s/2023/Tract%20Volontariat%20RCC.pdf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topLeftCell="M1" workbookViewId="0">
      <selection activeCell="P2" sqref="P2"/>
    </sheetView>
  </sheetViews>
  <sheetFormatPr defaultColWidth="12.140625" defaultRowHeight="15" customHeight="1" x14ac:dyDescent="0.25"/>
  <cols>
    <col min="1" max="1" width="8.28515625" style="10" customWidth="1"/>
    <col min="2" max="2" width="7.5703125" style="10" customWidth="1"/>
    <col min="3" max="3" width="41.28515625" style="10" bestFit="1" customWidth="1"/>
    <col min="4" max="4" width="15.140625" style="10" bestFit="1" customWidth="1"/>
    <col min="5" max="5" width="21.7109375" style="10" customWidth="1"/>
    <col min="6" max="6" width="15.28515625" style="10" customWidth="1"/>
    <col min="7" max="9" width="9.28515625" style="10" bestFit="1" customWidth="1"/>
    <col min="10" max="10" width="49.5703125" style="10" customWidth="1"/>
    <col min="11" max="12" width="14.28515625" style="10" customWidth="1"/>
    <col min="13" max="14" width="57.140625" style="10" customWidth="1"/>
    <col min="15" max="16" width="41.85546875" style="10" customWidth="1"/>
    <col min="17" max="16384" width="12.140625" style="10"/>
  </cols>
  <sheetData>
    <row r="1" spans="1:16" x14ac:dyDescent="0.25">
      <c r="A1" s="6" t="s">
        <v>15</v>
      </c>
      <c r="B1" s="7" t="s">
        <v>54</v>
      </c>
      <c r="C1" s="8" t="s">
        <v>0</v>
      </c>
      <c r="D1" s="16" t="s">
        <v>1</v>
      </c>
      <c r="E1" s="9" t="s">
        <v>127</v>
      </c>
      <c r="F1" s="9" t="s">
        <v>148</v>
      </c>
      <c r="G1" s="7" t="s">
        <v>2</v>
      </c>
      <c r="H1" s="7" t="s">
        <v>3</v>
      </c>
      <c r="I1" s="7" t="s">
        <v>4</v>
      </c>
      <c r="J1" s="9" t="s">
        <v>97</v>
      </c>
      <c r="K1" s="9" t="s">
        <v>17</v>
      </c>
      <c r="L1" s="9" t="s">
        <v>18</v>
      </c>
      <c r="M1" s="9" t="s">
        <v>16</v>
      </c>
      <c r="N1" s="9" t="s">
        <v>19</v>
      </c>
      <c r="O1" s="9" t="s">
        <v>20</v>
      </c>
      <c r="P1" s="9" t="s">
        <v>149</v>
      </c>
    </row>
    <row r="2" spans="1:16" ht="90" x14ac:dyDescent="0.25">
      <c r="A2" s="11">
        <v>2026</v>
      </c>
      <c r="B2" s="5" t="s">
        <v>55</v>
      </c>
      <c r="C2" s="13" t="s">
        <v>59</v>
      </c>
      <c r="D2" s="17" t="s">
        <v>57</v>
      </c>
      <c r="E2" s="14" t="s">
        <v>14</v>
      </c>
      <c r="F2" s="12" t="b">
        <f>_xlfn.LET(_xlpm.ok,COUNTIF(G2:I2,TRUE),_xlpm.av,COUNTIF(G2:I2,"À vérifier"),IF(_xlpm.ok&gt;=2,TRUE,IF(_xlpm.ok+_xlpm.av&gt;=2,"À vérifier",FALSE)))</f>
        <v>1</v>
      </c>
      <c r="G2" s="12" t="b">
        <v>1</v>
      </c>
      <c r="H2" s="12" t="b">
        <v>1</v>
      </c>
      <c r="I2" s="12" t="b">
        <v>1</v>
      </c>
      <c r="J2" s="1" t="s">
        <v>98</v>
      </c>
      <c r="K2" s="1">
        <v>45813</v>
      </c>
      <c r="L2" s="1">
        <v>46181</v>
      </c>
      <c r="M2" s="5" t="s">
        <v>79</v>
      </c>
      <c r="N2" s="5" t="s">
        <v>53</v>
      </c>
      <c r="O2" s="5" t="s">
        <v>14</v>
      </c>
      <c r="P2" s="5"/>
    </row>
    <row r="3" spans="1:16" ht="60" x14ac:dyDescent="0.25">
      <c r="A3" s="11">
        <v>2026</v>
      </c>
      <c r="B3" s="5" t="s">
        <v>56</v>
      </c>
      <c r="C3" s="13" t="s">
        <v>11</v>
      </c>
      <c r="D3" s="18" t="s">
        <v>13</v>
      </c>
      <c r="E3" s="14" t="s">
        <v>14</v>
      </c>
      <c r="F3" s="12" t="str">
        <f t="shared" ref="F3:F29" si="0">_xlfn.LET(_xlpm.ok,COUNTIF(G3:I3,TRUE),_xlpm.av,COUNTIF(G3:I3,"À vérifier"),IF(_xlpm.ok&gt;=2,TRUE,IF(_xlpm.ok+_xlpm.av&gt;=2,"À vérifier",FALSE)))</f>
        <v>À vérifier</v>
      </c>
      <c r="G3" s="12" t="s">
        <v>6</v>
      </c>
      <c r="H3" s="12" t="s">
        <v>6</v>
      </c>
      <c r="I3" s="12" t="s">
        <v>6</v>
      </c>
      <c r="J3" s="1" t="s">
        <v>110</v>
      </c>
      <c r="K3" s="1" t="s">
        <v>6</v>
      </c>
      <c r="L3" s="1" t="s">
        <v>6</v>
      </c>
      <c r="M3" s="5" t="s">
        <v>83</v>
      </c>
      <c r="N3" s="5" t="s">
        <v>6</v>
      </c>
      <c r="O3" s="5" t="s">
        <v>14</v>
      </c>
      <c r="P3" s="5"/>
    </row>
    <row r="4" spans="1:16" ht="45" x14ac:dyDescent="0.25">
      <c r="A4" s="11">
        <v>2026</v>
      </c>
      <c r="B4" s="5" t="s">
        <v>55</v>
      </c>
      <c r="C4" s="13" t="s">
        <v>77</v>
      </c>
      <c r="D4" s="19" t="s">
        <v>9</v>
      </c>
      <c r="E4" s="15" t="s">
        <v>128</v>
      </c>
      <c r="F4" s="12" t="b">
        <f t="shared" si="0"/>
        <v>1</v>
      </c>
      <c r="G4" s="12" t="b">
        <v>0</v>
      </c>
      <c r="H4" s="12" t="b">
        <v>1</v>
      </c>
      <c r="I4" s="12" t="b">
        <v>1</v>
      </c>
      <c r="J4" s="1" t="s">
        <v>116</v>
      </c>
      <c r="K4" s="1">
        <v>46197</v>
      </c>
      <c r="L4" s="1">
        <v>46219</v>
      </c>
      <c r="M4" s="2" t="s">
        <v>52</v>
      </c>
      <c r="N4" s="2" t="s">
        <v>45</v>
      </c>
      <c r="O4" s="3" t="s">
        <v>112</v>
      </c>
      <c r="P4" s="3"/>
    </row>
    <row r="5" spans="1:16" ht="45" x14ac:dyDescent="0.25">
      <c r="A5" s="11">
        <v>2026</v>
      </c>
      <c r="B5" s="5" t="s">
        <v>55</v>
      </c>
      <c r="C5" s="13" t="s">
        <v>60</v>
      </c>
      <c r="D5" s="20" t="s">
        <v>9</v>
      </c>
      <c r="E5" s="15" t="s">
        <v>129</v>
      </c>
      <c r="F5" s="12" t="b">
        <f t="shared" si="0"/>
        <v>1</v>
      </c>
      <c r="G5" s="12" t="b">
        <v>1</v>
      </c>
      <c r="H5" s="12" t="b">
        <v>1</v>
      </c>
      <c r="I5" s="12" t="b">
        <v>1</v>
      </c>
      <c r="J5" s="1" t="s">
        <v>99</v>
      </c>
      <c r="K5" s="1">
        <v>46202</v>
      </c>
      <c r="L5" s="1">
        <v>46212</v>
      </c>
      <c r="M5" s="2" t="s">
        <v>51</v>
      </c>
      <c r="N5" s="2" t="s">
        <v>34</v>
      </c>
      <c r="O5" s="2" t="s">
        <v>14</v>
      </c>
      <c r="P5" s="2"/>
    </row>
    <row r="6" spans="1:16" ht="90" x14ac:dyDescent="0.25">
      <c r="A6" s="11">
        <v>2026</v>
      </c>
      <c r="B6" s="5" t="s">
        <v>55</v>
      </c>
      <c r="C6" s="13" t="s">
        <v>73</v>
      </c>
      <c r="D6" s="20" t="s">
        <v>9</v>
      </c>
      <c r="E6" s="15" t="s">
        <v>145</v>
      </c>
      <c r="F6" s="12" t="str">
        <f t="shared" si="0"/>
        <v>À vérifier</v>
      </c>
      <c r="G6" s="12" t="b">
        <v>1</v>
      </c>
      <c r="H6" s="12" t="s">
        <v>6</v>
      </c>
      <c r="I6" s="12" t="s">
        <v>6</v>
      </c>
      <c r="J6" s="1" t="s">
        <v>100</v>
      </c>
      <c r="K6" s="1">
        <v>46041</v>
      </c>
      <c r="L6" s="1">
        <v>46048</v>
      </c>
      <c r="M6" s="2" t="s">
        <v>80</v>
      </c>
      <c r="N6" s="2" t="s">
        <v>50</v>
      </c>
      <c r="O6" s="2" t="s">
        <v>14</v>
      </c>
      <c r="P6" s="2"/>
    </row>
    <row r="7" spans="1:16" ht="60" x14ac:dyDescent="0.25">
      <c r="A7" s="11">
        <v>2026</v>
      </c>
      <c r="B7" s="5" t="s">
        <v>55</v>
      </c>
      <c r="C7" s="13" t="s">
        <v>78</v>
      </c>
      <c r="D7" s="20" t="s">
        <v>9</v>
      </c>
      <c r="E7" s="15" t="s">
        <v>14</v>
      </c>
      <c r="F7" s="12" t="b">
        <f t="shared" si="0"/>
        <v>1</v>
      </c>
      <c r="G7" s="12" t="b">
        <v>0</v>
      </c>
      <c r="H7" s="12" t="b">
        <v>1</v>
      </c>
      <c r="I7" s="12" t="b">
        <v>1</v>
      </c>
      <c r="J7" s="1" t="s">
        <v>101</v>
      </c>
      <c r="K7" s="1" t="s">
        <v>6</v>
      </c>
      <c r="L7" s="1">
        <v>46037</v>
      </c>
      <c r="M7" s="2" t="s">
        <v>84</v>
      </c>
      <c r="N7" s="2" t="s">
        <v>44</v>
      </c>
      <c r="O7" s="2" t="s">
        <v>14</v>
      </c>
      <c r="P7" s="2"/>
    </row>
    <row r="8" spans="1:16" ht="120" x14ac:dyDescent="0.25">
      <c r="A8" s="11">
        <v>2026</v>
      </c>
      <c r="B8" s="5" t="s">
        <v>55</v>
      </c>
      <c r="C8" s="13" t="s">
        <v>76</v>
      </c>
      <c r="D8" s="20" t="s">
        <v>9</v>
      </c>
      <c r="E8" s="15" t="s">
        <v>130</v>
      </c>
      <c r="F8" s="12" t="b">
        <f t="shared" si="0"/>
        <v>1</v>
      </c>
      <c r="G8" s="12" t="b">
        <v>0</v>
      </c>
      <c r="H8" s="12" t="b">
        <v>1</v>
      </c>
      <c r="I8" s="12" t="b">
        <v>1</v>
      </c>
      <c r="J8" s="1" t="s">
        <v>117</v>
      </c>
      <c r="K8" s="1">
        <v>45980</v>
      </c>
      <c r="L8" s="1">
        <v>46010</v>
      </c>
      <c r="M8" s="2" t="s">
        <v>85</v>
      </c>
      <c r="N8" s="2" t="s">
        <v>43</v>
      </c>
      <c r="O8" s="3" t="s">
        <v>111</v>
      </c>
      <c r="P8" s="3"/>
    </row>
    <row r="9" spans="1:16" ht="90" x14ac:dyDescent="0.25">
      <c r="A9" s="11">
        <v>2025</v>
      </c>
      <c r="B9" s="5" t="s">
        <v>55</v>
      </c>
      <c r="C9" s="13" t="s">
        <v>61</v>
      </c>
      <c r="D9" s="20" t="s">
        <v>9</v>
      </c>
      <c r="E9" s="15" t="s">
        <v>131</v>
      </c>
      <c r="F9" s="12" t="str">
        <f t="shared" si="0"/>
        <v>À vérifier</v>
      </c>
      <c r="G9" s="12" t="s">
        <v>6</v>
      </c>
      <c r="H9" s="12" t="s">
        <v>6</v>
      </c>
      <c r="I9" s="12" t="s">
        <v>6</v>
      </c>
      <c r="J9" s="1" t="s">
        <v>110</v>
      </c>
      <c r="K9" s="1">
        <v>45947</v>
      </c>
      <c r="L9" s="1">
        <v>46007</v>
      </c>
      <c r="M9" s="2" t="s">
        <v>86</v>
      </c>
      <c r="N9" s="2" t="s">
        <v>42</v>
      </c>
      <c r="O9" s="2" t="s">
        <v>14</v>
      </c>
      <c r="P9" s="2"/>
    </row>
    <row r="10" spans="1:16" ht="45" x14ac:dyDescent="0.25">
      <c r="A10" s="11">
        <v>2025</v>
      </c>
      <c r="B10" s="5" t="s">
        <v>56</v>
      </c>
      <c r="C10" s="13" t="s">
        <v>11</v>
      </c>
      <c r="D10" s="18" t="s">
        <v>13</v>
      </c>
      <c r="E10" s="14" t="s">
        <v>14</v>
      </c>
      <c r="F10" s="12" t="str">
        <f t="shared" si="0"/>
        <v>À vérifier</v>
      </c>
      <c r="G10" s="12" t="s">
        <v>6</v>
      </c>
      <c r="H10" s="12" t="s">
        <v>6</v>
      </c>
      <c r="I10" s="12" t="s">
        <v>6</v>
      </c>
      <c r="J10" s="4" t="s">
        <v>123</v>
      </c>
      <c r="K10" s="4" t="s">
        <v>6</v>
      </c>
      <c r="L10" s="4">
        <v>45673</v>
      </c>
      <c r="M10" s="5" t="s">
        <v>96</v>
      </c>
      <c r="N10" s="5" t="s">
        <v>6</v>
      </c>
      <c r="O10" s="5" t="s">
        <v>14</v>
      </c>
      <c r="P10" s="5"/>
    </row>
    <row r="11" spans="1:16" ht="90" x14ac:dyDescent="0.25">
      <c r="A11" s="11">
        <v>2025</v>
      </c>
      <c r="B11" s="5" t="s">
        <v>55</v>
      </c>
      <c r="C11" s="13" t="s">
        <v>62</v>
      </c>
      <c r="D11" s="20" t="s">
        <v>9</v>
      </c>
      <c r="E11" s="15" t="s">
        <v>132</v>
      </c>
      <c r="F11" s="12" t="str">
        <f t="shared" si="0"/>
        <v>À vérifier</v>
      </c>
      <c r="G11" s="12" t="s">
        <v>6</v>
      </c>
      <c r="H11" s="12" t="s">
        <v>6</v>
      </c>
      <c r="I11" s="12" t="s">
        <v>6</v>
      </c>
      <c r="J11" s="1" t="s">
        <v>110</v>
      </c>
      <c r="K11" s="1">
        <v>45947</v>
      </c>
      <c r="L11" s="1">
        <v>46007</v>
      </c>
      <c r="M11" s="2" t="s">
        <v>87</v>
      </c>
      <c r="N11" s="2" t="s">
        <v>41</v>
      </c>
      <c r="O11" s="2" t="s">
        <v>14</v>
      </c>
      <c r="P11" s="2"/>
    </row>
    <row r="12" spans="1:16" ht="75" x14ac:dyDescent="0.25">
      <c r="A12" s="11">
        <v>2025</v>
      </c>
      <c r="B12" s="5" t="s">
        <v>55</v>
      </c>
      <c r="C12" s="13" t="s">
        <v>63</v>
      </c>
      <c r="D12" s="19" t="s">
        <v>9</v>
      </c>
      <c r="E12" s="15" t="s">
        <v>133</v>
      </c>
      <c r="F12" s="12" t="str">
        <f t="shared" si="0"/>
        <v>À vérifier</v>
      </c>
      <c r="G12" s="12" t="s">
        <v>6</v>
      </c>
      <c r="H12" s="12" t="s">
        <v>6</v>
      </c>
      <c r="I12" s="12" t="s">
        <v>6</v>
      </c>
      <c r="J12" s="1" t="s">
        <v>110</v>
      </c>
      <c r="K12" s="1">
        <v>45813</v>
      </c>
      <c r="L12" s="1">
        <f>DATE(2025,7,24)</f>
        <v>45862</v>
      </c>
      <c r="M12" s="2" t="s">
        <v>81</v>
      </c>
      <c r="N12" s="2" t="s">
        <v>49</v>
      </c>
      <c r="O12" s="2" t="s">
        <v>14</v>
      </c>
      <c r="P12" s="2"/>
    </row>
    <row r="13" spans="1:16" ht="60" x14ac:dyDescent="0.25">
      <c r="A13" s="11">
        <v>2025</v>
      </c>
      <c r="B13" s="5" t="s">
        <v>55</v>
      </c>
      <c r="C13" s="13" t="s">
        <v>64</v>
      </c>
      <c r="D13" s="21" t="s">
        <v>144</v>
      </c>
      <c r="E13" s="15" t="s">
        <v>134</v>
      </c>
      <c r="F13" s="12" t="b">
        <f t="shared" si="0"/>
        <v>0</v>
      </c>
      <c r="G13" s="12" t="b">
        <v>0</v>
      </c>
      <c r="H13" s="12" t="b">
        <v>0</v>
      </c>
      <c r="I13" s="12" t="b">
        <v>0</v>
      </c>
      <c r="J13" s="1" t="s">
        <v>102</v>
      </c>
      <c r="K13" s="1">
        <v>45708</v>
      </c>
      <c r="L13" s="1">
        <v>45930</v>
      </c>
      <c r="M13" s="2" t="s">
        <v>88</v>
      </c>
      <c r="N13" s="2" t="s">
        <v>40</v>
      </c>
      <c r="O13" s="3" t="s">
        <v>113</v>
      </c>
      <c r="P13" s="3"/>
    </row>
    <row r="14" spans="1:16" ht="45" x14ac:dyDescent="0.25">
      <c r="A14" s="11">
        <v>2025</v>
      </c>
      <c r="B14" s="5" t="s">
        <v>55</v>
      </c>
      <c r="C14" s="13" t="s">
        <v>74</v>
      </c>
      <c r="D14" s="21" t="s">
        <v>144</v>
      </c>
      <c r="E14" s="15" t="s">
        <v>135</v>
      </c>
      <c r="F14" s="12" t="b">
        <f t="shared" si="0"/>
        <v>0</v>
      </c>
      <c r="G14" s="12" t="b">
        <v>0</v>
      </c>
      <c r="H14" s="12" t="b">
        <v>1</v>
      </c>
      <c r="I14" s="12" t="b">
        <v>0</v>
      </c>
      <c r="J14" s="1" t="s">
        <v>103</v>
      </c>
      <c r="K14" s="1">
        <v>45684</v>
      </c>
      <c r="L14" s="1">
        <v>45743</v>
      </c>
      <c r="M14" s="2" t="s">
        <v>48</v>
      </c>
      <c r="N14" s="2" t="s">
        <v>39</v>
      </c>
      <c r="O14" s="3" t="s">
        <v>114</v>
      </c>
      <c r="P14" s="3"/>
    </row>
    <row r="15" spans="1:16" ht="75" x14ac:dyDescent="0.25">
      <c r="A15" s="11">
        <v>2025</v>
      </c>
      <c r="B15" s="5" t="s">
        <v>55</v>
      </c>
      <c r="C15" s="13" t="s">
        <v>65</v>
      </c>
      <c r="D15" s="19" t="s">
        <v>9</v>
      </c>
      <c r="E15" s="15" t="s">
        <v>14</v>
      </c>
      <c r="F15" s="12" t="b">
        <f t="shared" si="0"/>
        <v>1</v>
      </c>
      <c r="G15" s="12" t="b">
        <v>0</v>
      </c>
      <c r="H15" s="12" t="b">
        <v>1</v>
      </c>
      <c r="I15" s="12" t="b">
        <v>1</v>
      </c>
      <c r="J15" s="1" t="s">
        <v>118</v>
      </c>
      <c r="K15" s="1">
        <v>45680</v>
      </c>
      <c r="L15" s="1">
        <v>45712</v>
      </c>
      <c r="M15" s="2" t="s">
        <v>89</v>
      </c>
      <c r="N15" s="2" t="s">
        <v>38</v>
      </c>
      <c r="O15" s="3" t="s">
        <v>115</v>
      </c>
      <c r="P15" s="3"/>
    </row>
    <row r="16" spans="1:16" ht="30" x14ac:dyDescent="0.25">
      <c r="A16" s="11">
        <v>2024</v>
      </c>
      <c r="B16" s="5" t="s">
        <v>55</v>
      </c>
      <c r="C16" s="13" t="s">
        <v>66</v>
      </c>
      <c r="D16" s="21" t="s">
        <v>144</v>
      </c>
      <c r="E16" s="15" t="s">
        <v>136</v>
      </c>
      <c r="F16" s="12" t="str">
        <f t="shared" si="0"/>
        <v>À vérifier</v>
      </c>
      <c r="G16" s="12" t="b">
        <v>0</v>
      </c>
      <c r="H16" s="12" t="s">
        <v>6</v>
      </c>
      <c r="I16" s="12" t="s">
        <v>6</v>
      </c>
      <c r="J16" s="1" t="s">
        <v>110</v>
      </c>
      <c r="K16" s="1" t="s">
        <v>6</v>
      </c>
      <c r="L16" s="1" t="s">
        <v>6</v>
      </c>
      <c r="M16" s="2" t="s">
        <v>36</v>
      </c>
      <c r="N16" s="2" t="s">
        <v>37</v>
      </c>
      <c r="O16" s="2" t="s">
        <v>14</v>
      </c>
      <c r="P16" s="2"/>
    </row>
    <row r="17" spans="1:16" ht="60" x14ac:dyDescent="0.25">
      <c r="A17" s="11">
        <v>2024</v>
      </c>
      <c r="B17" s="5" t="s">
        <v>55</v>
      </c>
      <c r="C17" s="13" t="s">
        <v>67</v>
      </c>
      <c r="D17" s="19" t="s">
        <v>9</v>
      </c>
      <c r="E17" s="15" t="s">
        <v>137</v>
      </c>
      <c r="F17" s="12" t="b">
        <f t="shared" si="0"/>
        <v>1</v>
      </c>
      <c r="G17" s="12" t="b">
        <v>1</v>
      </c>
      <c r="H17" s="12" t="b">
        <v>1</v>
      </c>
      <c r="I17" s="12" t="b">
        <v>1</v>
      </c>
      <c r="J17" s="1" t="s">
        <v>119</v>
      </c>
      <c r="K17" s="1" t="s">
        <v>6</v>
      </c>
      <c r="L17" s="1" t="s">
        <v>6</v>
      </c>
      <c r="M17" s="2" t="s">
        <v>90</v>
      </c>
      <c r="N17" s="2" t="s">
        <v>35</v>
      </c>
      <c r="O17" s="3" t="s">
        <v>124</v>
      </c>
      <c r="P17" s="3"/>
    </row>
    <row r="18" spans="1:16" ht="75" x14ac:dyDescent="0.25">
      <c r="A18" s="11">
        <v>2024</v>
      </c>
      <c r="B18" s="5" t="s">
        <v>55</v>
      </c>
      <c r="C18" s="13" t="s">
        <v>68</v>
      </c>
      <c r="D18" s="19" t="s">
        <v>9</v>
      </c>
      <c r="E18" s="15" t="s">
        <v>138</v>
      </c>
      <c r="F18" s="12" t="b">
        <f t="shared" si="0"/>
        <v>1</v>
      </c>
      <c r="G18" s="12" t="b">
        <v>1</v>
      </c>
      <c r="H18" s="12" t="b">
        <v>1</v>
      </c>
      <c r="I18" s="12" t="b">
        <v>1</v>
      </c>
      <c r="J18" s="1" t="s">
        <v>104</v>
      </c>
      <c r="K18" s="1">
        <v>45702</v>
      </c>
      <c r="L18" s="1">
        <v>45744</v>
      </c>
      <c r="M18" s="2" t="s">
        <v>82</v>
      </c>
      <c r="N18" s="2" t="s">
        <v>34</v>
      </c>
      <c r="O18" s="2" t="s">
        <v>14</v>
      </c>
      <c r="P18" s="2"/>
    </row>
    <row r="19" spans="1:16" ht="30" x14ac:dyDescent="0.25">
      <c r="A19" s="11">
        <v>2024</v>
      </c>
      <c r="B19" s="5" t="s">
        <v>55</v>
      </c>
      <c r="C19" s="13" t="s">
        <v>12</v>
      </c>
      <c r="D19" s="18" t="s">
        <v>13</v>
      </c>
      <c r="E19" s="15" t="s">
        <v>14</v>
      </c>
      <c r="F19" s="12" t="str">
        <f t="shared" si="0"/>
        <v>À vérifier</v>
      </c>
      <c r="G19" s="12" t="b">
        <v>1</v>
      </c>
      <c r="H19" s="12" t="s">
        <v>6</v>
      </c>
      <c r="I19" s="12" t="s">
        <v>6</v>
      </c>
      <c r="J19" s="1" t="s">
        <v>105</v>
      </c>
      <c r="K19" s="1" t="s">
        <v>6</v>
      </c>
      <c r="L19" s="1" t="s">
        <v>6</v>
      </c>
      <c r="M19" s="2" t="s">
        <v>33</v>
      </c>
      <c r="N19" s="2" t="s">
        <v>32</v>
      </c>
      <c r="O19" s="2" t="s">
        <v>14</v>
      </c>
      <c r="P19" s="2"/>
    </row>
    <row r="20" spans="1:16" ht="45" x14ac:dyDescent="0.25">
      <c r="A20" s="11">
        <v>2024</v>
      </c>
      <c r="B20" s="5" t="s">
        <v>56</v>
      </c>
      <c r="C20" s="13" t="s">
        <v>11</v>
      </c>
      <c r="D20" s="19" t="s">
        <v>9</v>
      </c>
      <c r="E20" s="15" t="s">
        <v>139</v>
      </c>
      <c r="F20" s="12" t="b">
        <f t="shared" si="0"/>
        <v>1</v>
      </c>
      <c r="G20" s="12" t="b">
        <v>1</v>
      </c>
      <c r="H20" s="12" t="b">
        <v>1</v>
      </c>
      <c r="I20" s="12" t="b">
        <v>1</v>
      </c>
      <c r="J20" s="1" t="s">
        <v>120</v>
      </c>
      <c r="K20" s="1" t="s">
        <v>6</v>
      </c>
      <c r="L20" s="1" t="s">
        <v>6</v>
      </c>
      <c r="M20" s="2" t="s">
        <v>31</v>
      </c>
      <c r="N20" s="2" t="s">
        <v>32</v>
      </c>
      <c r="O20" s="2" t="s">
        <v>14</v>
      </c>
      <c r="P20" s="2"/>
    </row>
    <row r="21" spans="1:16" ht="30" x14ac:dyDescent="0.25">
      <c r="A21" s="11">
        <v>2024</v>
      </c>
      <c r="B21" s="5" t="s">
        <v>55</v>
      </c>
      <c r="C21" s="13" t="s">
        <v>10</v>
      </c>
      <c r="D21" s="20" t="s">
        <v>9</v>
      </c>
      <c r="E21" s="15" t="s">
        <v>146</v>
      </c>
      <c r="F21" s="12" t="b">
        <f t="shared" si="0"/>
        <v>1</v>
      </c>
      <c r="G21" s="12" t="b">
        <v>1</v>
      </c>
      <c r="H21" s="12" t="b">
        <v>1</v>
      </c>
      <c r="I21" s="12" t="b">
        <v>1</v>
      </c>
      <c r="J21" s="1" t="s">
        <v>106</v>
      </c>
      <c r="K21" s="1">
        <v>45356</v>
      </c>
      <c r="L21" s="1">
        <v>45401</v>
      </c>
      <c r="M21" s="2" t="s">
        <v>29</v>
      </c>
      <c r="N21" s="2" t="s">
        <v>30</v>
      </c>
      <c r="O21" s="3" t="s">
        <v>125</v>
      </c>
      <c r="P21" s="3"/>
    </row>
    <row r="22" spans="1:16" ht="30" x14ac:dyDescent="0.25">
      <c r="A22" s="11">
        <v>2024</v>
      </c>
      <c r="B22" s="5" t="s">
        <v>55</v>
      </c>
      <c r="C22" s="13" t="s">
        <v>69</v>
      </c>
      <c r="D22" s="20" t="s">
        <v>9</v>
      </c>
      <c r="E22" s="15" t="s">
        <v>14</v>
      </c>
      <c r="F22" s="12" t="str">
        <f t="shared" si="0"/>
        <v>À vérifier</v>
      </c>
      <c r="G22" s="12" t="b">
        <v>1</v>
      </c>
      <c r="H22" s="12" t="s">
        <v>6</v>
      </c>
      <c r="I22" s="12" t="s">
        <v>6</v>
      </c>
      <c r="J22" s="1" t="s">
        <v>105</v>
      </c>
      <c r="K22" s="1" t="s">
        <v>6</v>
      </c>
      <c r="L22" s="1" t="s">
        <v>6</v>
      </c>
      <c r="M22" s="2" t="s">
        <v>27</v>
      </c>
      <c r="N22" s="2" t="s">
        <v>28</v>
      </c>
      <c r="O22" s="2" t="s">
        <v>14</v>
      </c>
      <c r="P22" s="2"/>
    </row>
    <row r="23" spans="1:16" ht="75" x14ac:dyDescent="0.25">
      <c r="A23" s="11">
        <v>2024</v>
      </c>
      <c r="B23" s="5" t="s">
        <v>55</v>
      </c>
      <c r="C23" s="13" t="s">
        <v>8</v>
      </c>
      <c r="D23" s="20" t="s">
        <v>9</v>
      </c>
      <c r="E23" s="15" t="s">
        <v>140</v>
      </c>
      <c r="F23" s="12" t="b">
        <f t="shared" si="0"/>
        <v>1</v>
      </c>
      <c r="G23" s="12" t="b">
        <v>1</v>
      </c>
      <c r="H23" s="12" t="b">
        <v>1</v>
      </c>
      <c r="I23" s="12" t="b">
        <v>1</v>
      </c>
      <c r="J23" s="1" t="s">
        <v>121</v>
      </c>
      <c r="K23" s="1">
        <v>45569</v>
      </c>
      <c r="L23" s="1">
        <v>45610</v>
      </c>
      <c r="M23" s="2" t="s">
        <v>91</v>
      </c>
      <c r="N23" s="2" t="s">
        <v>26</v>
      </c>
      <c r="O23" s="2" t="s">
        <v>14</v>
      </c>
      <c r="P23" s="2"/>
    </row>
    <row r="24" spans="1:16" ht="45" x14ac:dyDescent="0.25">
      <c r="A24" s="11">
        <v>2023</v>
      </c>
      <c r="B24" s="5" t="s">
        <v>55</v>
      </c>
      <c r="C24" s="13" t="s">
        <v>70</v>
      </c>
      <c r="D24" s="21" t="s">
        <v>144</v>
      </c>
      <c r="E24" s="15" t="s">
        <v>141</v>
      </c>
      <c r="F24" s="12" t="str">
        <f t="shared" si="0"/>
        <v>À vérifier</v>
      </c>
      <c r="G24" s="12" t="s">
        <v>6</v>
      </c>
      <c r="H24" s="12" t="s">
        <v>6</v>
      </c>
      <c r="I24" s="12" t="s">
        <v>6</v>
      </c>
      <c r="J24" s="1" t="s">
        <v>110</v>
      </c>
      <c r="K24" s="1" t="s">
        <v>6</v>
      </c>
      <c r="L24" s="1" t="s">
        <v>6</v>
      </c>
      <c r="M24" s="2" t="s">
        <v>25</v>
      </c>
      <c r="N24" s="2" t="s">
        <v>6</v>
      </c>
      <c r="O24" s="2" t="s">
        <v>14</v>
      </c>
      <c r="P24" s="2"/>
    </row>
    <row r="25" spans="1:16" ht="60" x14ac:dyDescent="0.25">
      <c r="A25" s="11">
        <v>2023</v>
      </c>
      <c r="B25" s="5" t="s">
        <v>55</v>
      </c>
      <c r="C25" s="13" t="s">
        <v>71</v>
      </c>
      <c r="D25" s="19" t="s">
        <v>9</v>
      </c>
      <c r="E25" s="15" t="s">
        <v>147</v>
      </c>
      <c r="F25" s="12" t="b">
        <f t="shared" si="0"/>
        <v>1</v>
      </c>
      <c r="G25" s="12" t="b">
        <v>1</v>
      </c>
      <c r="H25" s="12" t="b">
        <v>1</v>
      </c>
      <c r="I25" s="12" t="b">
        <v>1</v>
      </c>
      <c r="J25" s="1" t="s">
        <v>107</v>
      </c>
      <c r="K25" s="1" t="s">
        <v>6</v>
      </c>
      <c r="L25" s="1">
        <v>45259</v>
      </c>
      <c r="M25" s="2" t="s">
        <v>92</v>
      </c>
      <c r="N25" s="2" t="s">
        <v>47</v>
      </c>
      <c r="O25" s="2" t="s">
        <v>14</v>
      </c>
      <c r="P25" s="2"/>
    </row>
    <row r="26" spans="1:16" ht="90" x14ac:dyDescent="0.25">
      <c r="A26" s="11">
        <v>2023</v>
      </c>
      <c r="B26" s="5" t="s">
        <v>55</v>
      </c>
      <c r="C26" s="13" t="s">
        <v>7</v>
      </c>
      <c r="D26" s="19" t="s">
        <v>9</v>
      </c>
      <c r="E26" s="15" t="s">
        <v>14</v>
      </c>
      <c r="F26" s="12" t="b">
        <f t="shared" si="0"/>
        <v>1</v>
      </c>
      <c r="G26" s="12" t="b">
        <v>1</v>
      </c>
      <c r="H26" s="12" t="b">
        <v>1</v>
      </c>
      <c r="I26" s="12" t="b">
        <v>0</v>
      </c>
      <c r="J26" s="1" t="s">
        <v>108</v>
      </c>
      <c r="K26" s="1" t="s">
        <v>6</v>
      </c>
      <c r="L26" s="1">
        <v>45111</v>
      </c>
      <c r="M26" s="2" t="s">
        <v>93</v>
      </c>
      <c r="N26" s="2" t="s">
        <v>24</v>
      </c>
      <c r="O26" s="3" t="s">
        <v>126</v>
      </c>
      <c r="P26" s="3"/>
    </row>
    <row r="27" spans="1:16" ht="45" x14ac:dyDescent="0.25">
      <c r="A27" s="11">
        <v>2023</v>
      </c>
      <c r="B27" s="5" t="s">
        <v>55</v>
      </c>
      <c r="C27" s="13" t="s">
        <v>75</v>
      </c>
      <c r="D27" s="21" t="s">
        <v>144</v>
      </c>
      <c r="E27" s="15" t="s">
        <v>142</v>
      </c>
      <c r="F27" s="12" t="str">
        <f t="shared" si="0"/>
        <v>À vérifier</v>
      </c>
      <c r="G27" s="12" t="b">
        <v>0</v>
      </c>
      <c r="H27" s="12" t="s">
        <v>6</v>
      </c>
      <c r="I27" s="12" t="s">
        <v>6</v>
      </c>
      <c r="J27" s="1" t="s">
        <v>110</v>
      </c>
      <c r="K27" s="1" t="s">
        <v>6</v>
      </c>
      <c r="L27" s="1" t="s">
        <v>6</v>
      </c>
      <c r="M27" s="2" t="s">
        <v>23</v>
      </c>
      <c r="N27" s="2" t="s">
        <v>46</v>
      </c>
      <c r="O27" s="3" t="s">
        <v>22</v>
      </c>
      <c r="P27" s="3"/>
    </row>
    <row r="28" spans="1:16" ht="60" x14ac:dyDescent="0.25">
      <c r="A28" s="11">
        <v>2023</v>
      </c>
      <c r="B28" s="5" t="s">
        <v>55</v>
      </c>
      <c r="C28" s="13" t="s">
        <v>5</v>
      </c>
      <c r="D28" s="21" t="s">
        <v>144</v>
      </c>
      <c r="E28" s="15" t="s">
        <v>143</v>
      </c>
      <c r="F28" s="12" t="b">
        <f t="shared" si="0"/>
        <v>1</v>
      </c>
      <c r="G28" s="12" t="b">
        <v>0</v>
      </c>
      <c r="H28" s="12" t="b">
        <v>1</v>
      </c>
      <c r="I28" s="12" t="b">
        <v>1</v>
      </c>
      <c r="J28" s="1" t="s">
        <v>122</v>
      </c>
      <c r="K28" s="1">
        <v>44845</v>
      </c>
      <c r="L28" s="1">
        <v>45028</v>
      </c>
      <c r="M28" s="2" t="s">
        <v>94</v>
      </c>
      <c r="N28" s="2" t="s">
        <v>21</v>
      </c>
      <c r="O28" s="3" t="s">
        <v>22</v>
      </c>
      <c r="P28" s="3"/>
    </row>
    <row r="29" spans="1:16" ht="15" customHeight="1" x14ac:dyDescent="0.25">
      <c r="A29" s="11">
        <v>2023</v>
      </c>
      <c r="B29" s="5" t="s">
        <v>55</v>
      </c>
      <c r="C29" s="13" t="s">
        <v>72</v>
      </c>
      <c r="D29" s="22" t="s">
        <v>9</v>
      </c>
      <c r="E29" s="15" t="s">
        <v>14</v>
      </c>
      <c r="F29" s="12" t="b">
        <f t="shared" si="0"/>
        <v>1</v>
      </c>
      <c r="G29" s="12" t="b">
        <v>1</v>
      </c>
      <c r="H29" s="12" t="b">
        <v>1</v>
      </c>
      <c r="I29" s="12" t="b">
        <v>1</v>
      </c>
      <c r="J29" s="1" t="s">
        <v>109</v>
      </c>
      <c r="K29" s="1" t="s">
        <v>6</v>
      </c>
      <c r="L29" s="1">
        <f>DATE(2022,11,17)</f>
        <v>44882</v>
      </c>
      <c r="M29" s="2" t="s">
        <v>95</v>
      </c>
      <c r="N29" s="2" t="s">
        <v>58</v>
      </c>
      <c r="O29" s="2" t="s">
        <v>14</v>
      </c>
      <c r="P29" s="2"/>
    </row>
  </sheetData>
  <autoFilter ref="A1:O29" xr:uid="{00000000-0001-0000-0000-000000000000}"/>
  <conditionalFormatting sqref="A2:O29">
    <cfRule type="containsText" dxfId="16" priority="13" operator="containsText" text="vérifier">
      <formula>NOT(ISERROR(SEARCH("vérifier",A2)))</formula>
    </cfRule>
    <cfRule type="containsText" dxfId="15" priority="14" operator="containsText" text="retrouver">
      <formula>NOT(ISERROR(SEARCH("retrouver",A2)))</formula>
    </cfRule>
    <cfRule type="containsText" dxfId="14" priority="15" operator="containsText" text="préciser">
      <formula>NOT(ISERROR(SEARCH("préciser",A2)))</formula>
    </cfRule>
  </conditionalFormatting>
  <conditionalFormatting sqref="E2:F29">
    <cfRule type="containsText" dxfId="10" priority="7" operator="containsText" text="vérifier">
      <formula>NOT(ISERROR(SEARCH("vérifier",E2)))</formula>
    </cfRule>
    <cfRule type="containsText" dxfId="9" priority="8" operator="containsText" text="retrouver">
      <formula>NOT(ISERROR(SEARCH("retrouver",E2)))</formula>
    </cfRule>
    <cfRule type="containsText" dxfId="8" priority="9" operator="containsText" text="préciser">
      <formula>NOT(ISERROR(SEARCH("préciser",E2)))</formula>
    </cfRule>
  </conditionalFormatting>
  <conditionalFormatting sqref="F2:F29">
    <cfRule type="containsText" dxfId="7" priority="4" operator="containsText" text="vérifier">
      <formula>NOT(ISERROR(SEARCH("vérifier",F2)))</formula>
    </cfRule>
    <cfRule type="containsText" dxfId="6" priority="5" operator="containsText" text="retrouver">
      <formula>NOT(ISERROR(SEARCH("retrouver",F2)))</formula>
    </cfRule>
    <cfRule type="containsText" dxfId="5" priority="6" operator="containsText" text="préciser">
      <formula>NOT(ISERROR(SEARCH("préciser",F2)))</formula>
    </cfRule>
  </conditionalFormatting>
  <conditionalFormatting sqref="F2:I29">
    <cfRule type="expression" dxfId="4" priority="16">
      <formula>F2=TRUE</formula>
    </cfRule>
  </conditionalFormatting>
  <conditionalFormatting sqref="F2:I29">
    <cfRule type="expression" dxfId="3" priority="17">
      <formula>F2=FALSE</formula>
    </cfRule>
  </conditionalFormatting>
  <conditionalFormatting sqref="P2:P29">
    <cfRule type="containsText" dxfId="2" priority="1" operator="containsText" text="vérifier">
      <formula>NOT(ISERROR(SEARCH("vérifier",P2)))</formula>
    </cfRule>
    <cfRule type="containsText" dxfId="1" priority="2" operator="containsText" text="retrouver">
      <formula>NOT(ISERROR(SEARCH("retrouver",P2)))</formula>
    </cfRule>
    <cfRule type="containsText" dxfId="0" priority="3" operator="containsText" text="préciser">
      <formula>NOT(ISERROR(SEARCH("préciser",P2)))</formula>
    </cfRule>
  </conditionalFormatting>
  <hyperlinks>
    <hyperlink ref="D26" r:id="rId1" display="CGT39" xr:uid="{B652B381-BF1A-487C-AC64-0676C07A41E5}"/>
    <hyperlink ref="D25" r:id="rId2" display="CGT39" xr:uid="{E09AFAE3-55E4-48CF-9CC2-C94F4CFE3964}"/>
    <hyperlink ref="D23" r:id="rId3" display="../../../HRLibrary/Controlled Documents/HR Regions/Europe South/France/HR SOPs-Guidelines-Policy/Harmonized/Accords conventions 2024/Accord don de jours 14 novembre 2024.pdf?web=1" xr:uid="{C0F3AF27-9BBF-41DE-87E5-6C57562A3040}"/>
    <hyperlink ref="D22" r:id="rId4" display="../../../HRLibrary/_layouts/15/DocIdRedir.aspx?ID=BTI3POTITA3Q-1865654459-242235" xr:uid="{97ED7A41-5492-4B4E-B9B1-FD66AA38F5ED}"/>
    <hyperlink ref="D21" r:id="rId5" display="../../../HRLibrary/_layouts/15/DocIdRedir.aspx?ID=BTI3POTITA3Q-1865654459-242162" xr:uid="{B481510D-8BA3-473E-8F71-AA111D58111B}"/>
    <hyperlink ref="D20" r:id="rId6" display="CGT39" xr:uid="{E1B57F18-24A4-447A-B247-AFB7D41174D1}"/>
    <hyperlink ref="D17" r:id="rId7" display="CGT39" xr:uid="{AD36386D-F9A0-4B76-91EF-7EE0E3767AC8}"/>
    <hyperlink ref="D12" r:id="rId8" display="CGT39" xr:uid="{C393D335-5FCB-4556-AD47-7898F9F2E919}"/>
    <hyperlink ref="D11" r:id="rId9" display="../../../HRLibrary/Controlled Documents/HR Regions/Europe South/France/HR SOPs-Guidelines-Policy/Harmonized/Accords conventions 2025/Accord d'entreprise relatif au Plan d'Epargne Entreprise au sein de Nokia Networks France (16 d%c3%a9cembre 2025).pdf?web=1" xr:uid="{30E86710-B52D-4ECD-B40D-3B6B0BB50BB9}"/>
    <hyperlink ref="D9" r:id="rId10" display="../../../HRLibrary/Controlled Documents/HR Regions/Europe South/France/HR SOPs-Guidelines-Policy/Harmonized/Accords conventions 2025/Accord d'entreprise relatif au Plan d'Epargne Retraite d'Entreprise Collectif PERCOL (16 d%c3%a9cembre 2025).pdf?web=1" xr:uid="{0AB087BA-41E9-4E66-91C5-A041426D7484}"/>
    <hyperlink ref="D8" r:id="rId11" display="../../../HRLibrary/Controlled Documents/HR Regions/Europe South/France/Plan-de-transformation/RCC 2025/Accord collectif portant sur une Rupture Conventionnelle Collective (RCC) au sein de Nokia Networks France (compress%c3%a9).pdf?web=1" xr:uid="{1BD937E8-DE87-4153-A504-4D327A7B8634}"/>
    <hyperlink ref="D7" r:id="rId12" display="../../../HRLibrary/_layouts/15/viewer.aspx?sourcedoc=%7b78e118ec-38ae-4539-8422-29417de73e69%7d" xr:uid="{4599B013-D148-4BBA-9419-0C0B6B45A3E0}"/>
    <hyperlink ref="D6" r:id="rId13" display="../../../HRLibrary/_layouts/15/DocIdRedir.aspx?ID=BTI3POTITA3Q-1865654459-247229" xr:uid="{E7B78842-1717-4059-BE2E-776C7090974C}"/>
    <hyperlink ref="D5" r:id="rId14" display="../../../HRLibrary/Controlled Documents/HR Regions/Europe South/France/HR SOPs-Guidelines-Policy/Harmonized/Accords conventions 2026/Avenant n%c2%ba 1 %c3%a0 l'Accord CSE du 21 septembre 2018.pdf?web=1" xr:uid="{74C437F8-3478-486C-BC3C-0105299AE4C3}"/>
    <hyperlink ref="D4" r:id="rId15" display="CGT39" xr:uid="{7CCCDB63-5C71-49B7-AAC7-102208F2A556}"/>
    <hyperlink ref="D2" r:id="rId16" display="CGT39" xr:uid="{2334AD23-DAF8-4F25-9AD4-3238A1FF52C8}"/>
    <hyperlink ref="D15" r:id="rId17" display="https://nokia.sharepoint.com/sites/HRLibrary/_layouts/15/DocIdRedir.aspx?ID=BTI3POTITA3Q-1865654459-245115" xr:uid="{D2342114-7FD0-46C6-BA8A-FE5A719E5D12}"/>
    <hyperlink ref="D18" r:id="rId18" display="https://nokia.sharepoint.com/sites/HRLibrary/Controlled%20Documents/HR%20Regions/Europe%20South/France/HR%20SOPs-Guidelines-Policy/Harmonized/Accords%20conventions%202025/Accord%20d%27int%C3%A9ressement%202025-2028.pdf" xr:uid="{658BDE47-7E8C-4FDD-AC90-F4BE0A4F5590}"/>
    <hyperlink ref="D29" r:id="rId19" display="https://nokia.sharepoint.com/sites/HRLibrary/_layouts/15/DocIdRedir.aspx?ID=BTI3POTITA3Q-1865654459-237880" xr:uid="{F3CA397A-3C4F-4EB2-9E78-5E3F6CF5AD0A}"/>
    <hyperlink ref="O4" r:id="rId20" display="Votre ressenti pour la RCC 2026-2 (26/06/2026)" xr:uid="{59D95BD5-7957-4DC2-9292-2CBBBB953C0D}"/>
    <hyperlink ref="O8" r:id="rId21" xr:uid="{B5450024-F62E-4456-B70D-13EE54625FA9}"/>
    <hyperlink ref="O13" r:id="rId22" display="Rappel dans le tract RCC de novembre 2025" xr:uid="{8A361D52-2C0D-4A5E-B963-5A59F5A00104}"/>
    <hyperlink ref="O14" r:id="rId23" display="Salaires : les négos ça ne marche pas (26/03/2025)" xr:uid="{5D4473E7-1C88-48FE-A14D-A15093F3B79B}"/>
    <hyperlink ref="O15" r:id="rId24" display="Avenant Télétravail : signer pour 40 centimes ? (19/02/2025)" xr:uid="{558A19AF-8D80-4D08-ABC2-4A3E7D1CD93A}"/>
    <hyperlink ref="O17" r:id="rId25" display="Et toi alors, t'es coté combien ? (13/11/2023)" xr:uid="{01E3DB2C-8C96-4A47-9002-9C3BFBFA84FF}"/>
    <hyperlink ref="O21" r:id="rId26" display="Bilan de la RCC 2024 (06/11/2024) ; " xr:uid="{22B006CE-6E87-4246-B4EA-8BA01364E20A}"/>
    <hyperlink ref="O26" r:id="rId27" display="RCC : des motifs de vigilance (09/2023) ; " xr:uid="{065592F7-3619-4EE0-A07C-438E248C4E8F}"/>
    <hyperlink ref="O27" r:id="rId28" xr:uid="{FF1EF8E1-6A04-432C-8713-D23076AA8098}"/>
    <hyperlink ref="O28" r:id="rId29" xr:uid="{1699107D-21CE-4FF6-AE63-2552D0557C45}"/>
  </hyperlinks>
  <pageMargins left="0.7" right="0.7" top="0.75" bottom="0.75" header="0.3" footer="0.3"/>
  <pageSetup orientation="portrait" r:id="rId30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5.xml><?xml version="1.0" encoding="utf-8"?>
<ds:datastoreItem xmlns:ds="http://schemas.openxmlformats.org/officeDocument/2006/customXml" ds:itemID="{5384275B-3603-46F1-AC57-45AFF030DC9D}"/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2026-09-30T12:49:00Z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